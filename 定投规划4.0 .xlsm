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"/>
    </mc:Choice>
  </mc:AlternateContent>
  <xr:revisionPtr revIDLastSave="0" documentId="13_ncr:1_{B5ED3F48-DDB1-4147-BCAC-8DA1C2CCE884}" xr6:coauthVersionLast="47" xr6:coauthVersionMax="47" xr10:uidLastSave="{00000000-0000-0000-0000-000000000000}"/>
  <bookViews>
    <workbookView xWindow="330" yWindow="2670" windowWidth="21600" windowHeight="11385" activeTab="3" xr2:uid="{00000000-000D-0000-FFFF-FFFF00000000}"/>
  </bookViews>
  <sheets>
    <sheet name="月定投_源表" sheetId="3" r:id="rId1"/>
    <sheet name="周定投_源表" sheetId="9" r:id="rId2"/>
    <sheet name="月定投_测试" sheetId="8" r:id="rId3"/>
    <sheet name="周定投_测试" sheetId="10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L3" i="10" l="1"/>
  <c r="L4" i="10"/>
  <c r="L5" i="10"/>
  <c r="L6" i="10"/>
  <c r="L7" i="10"/>
  <c r="L8" i="10"/>
  <c r="L9" i="10"/>
  <c r="L10" i="10"/>
  <c r="L11" i="10"/>
  <c r="L12" i="10"/>
  <c r="L13" i="10"/>
  <c r="L14" i="10"/>
  <c r="L15" i="10"/>
  <c r="L16" i="10"/>
  <c r="L17" i="10"/>
  <c r="L18" i="10"/>
  <c r="L19" i="10"/>
  <c r="L20" i="10"/>
  <c r="L21" i="10"/>
  <c r="L22" i="10"/>
  <c r="L23" i="10"/>
  <c r="L24" i="10"/>
  <c r="L25" i="10"/>
  <c r="L26" i="10"/>
  <c r="L27" i="10"/>
  <c r="E3" i="10"/>
  <c r="E4" i="10"/>
  <c r="E5" i="10"/>
  <c r="E6" i="10"/>
  <c r="E7" i="10"/>
  <c r="E8" i="10"/>
  <c r="E9" i="10"/>
  <c r="E10" i="10"/>
  <c r="E11" i="10"/>
  <c r="E12" i="10"/>
  <c r="E13" i="10"/>
  <c r="E14" i="10"/>
  <c r="E15" i="10"/>
  <c r="E16" i="10"/>
  <c r="E17" i="10"/>
  <c r="E18" i="10"/>
  <c r="E19" i="10"/>
  <c r="E20" i="10"/>
  <c r="E21" i="10"/>
  <c r="E22" i="10"/>
  <c r="E23" i="10"/>
  <c r="E24" i="10"/>
  <c r="E25" i="10"/>
  <c r="E26" i="10"/>
  <c r="E27" i="10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E3" i="9"/>
  <c r="E4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26" i="9"/>
  <c r="E27" i="9"/>
  <c r="D33" i="10"/>
  <c r="D32" i="10"/>
  <c r="M28" i="10"/>
  <c r="K28" i="10"/>
  <c r="F28" i="10"/>
  <c r="D28" i="10"/>
  <c r="L2" i="10"/>
  <c r="E2" i="10"/>
  <c r="F30" i="10" l="1"/>
  <c r="D30" i="10"/>
  <c r="D35" i="10" s="1"/>
  <c r="D31" i="10" l="1"/>
  <c r="D33" i="9" l="1"/>
  <c r="D32" i="9"/>
  <c r="M28" i="9"/>
  <c r="K28" i="9"/>
  <c r="F28" i="9"/>
  <c r="D28" i="9"/>
  <c r="L2" i="9"/>
  <c r="E2" i="9"/>
  <c r="L2" i="3"/>
  <c r="L3" i="3"/>
  <c r="L4" i="3"/>
  <c r="L5" i="3"/>
  <c r="L6" i="3"/>
  <c r="L7" i="3"/>
  <c r="L8" i="3"/>
  <c r="L9" i="3"/>
  <c r="L10" i="3"/>
  <c r="L11" i="3"/>
  <c r="L12" i="3"/>
  <c r="L13" i="3"/>
  <c r="E3" i="3"/>
  <c r="E4" i="3"/>
  <c r="E5" i="3"/>
  <c r="E6" i="3"/>
  <c r="E7" i="3"/>
  <c r="E8" i="3"/>
  <c r="E9" i="3"/>
  <c r="E10" i="3"/>
  <c r="E11" i="3"/>
  <c r="E12" i="3"/>
  <c r="E13" i="3"/>
  <c r="E2" i="3"/>
  <c r="L3" i="8"/>
  <c r="L4" i="8"/>
  <c r="L5" i="8"/>
  <c r="L6" i="8"/>
  <c r="L7" i="8"/>
  <c r="L8" i="8"/>
  <c r="L9" i="8"/>
  <c r="L10" i="8"/>
  <c r="L11" i="8"/>
  <c r="L12" i="8"/>
  <c r="L13" i="8"/>
  <c r="L2" i="8"/>
  <c r="E3" i="8"/>
  <c r="E4" i="8"/>
  <c r="E5" i="8"/>
  <c r="E6" i="8"/>
  <c r="E7" i="8"/>
  <c r="E8" i="8"/>
  <c r="E9" i="8"/>
  <c r="E10" i="8"/>
  <c r="E11" i="8"/>
  <c r="E12" i="8"/>
  <c r="E13" i="8"/>
  <c r="E2" i="8"/>
  <c r="D19" i="8"/>
  <c r="D18" i="8"/>
  <c r="M14" i="8"/>
  <c r="K14" i="8"/>
  <c r="F14" i="8"/>
  <c r="D14" i="8"/>
  <c r="D14" i="3"/>
  <c r="M14" i="3"/>
  <c r="F14" i="3"/>
  <c r="F30" i="9" l="1"/>
  <c r="D30" i="9"/>
  <c r="D35" i="9" s="1"/>
  <c r="D16" i="8"/>
  <c r="D21" i="8" s="1"/>
  <c r="F16" i="8"/>
  <c r="D18" i="3"/>
  <c r="D19" i="3"/>
  <c r="D31" i="9" l="1"/>
  <c r="D17" i="8"/>
  <c r="F16" i="3"/>
  <c r="K14" i="3" l="1"/>
  <c r="D16" i="3" s="1"/>
  <c r="D17" i="3" s="1"/>
  <c r="D21" i="3" l="1"/>
</calcChain>
</file>

<file path=xl/sharedStrings.xml><?xml version="1.0" encoding="utf-8"?>
<sst xmlns="http://schemas.openxmlformats.org/spreadsheetml/2006/main" count="192" uniqueCount="54">
  <si>
    <t>年化收益率</t>
  </si>
  <si>
    <t>涨幅</t>
  </si>
  <si>
    <t>平均成本</t>
  </si>
  <si>
    <t>总计</t>
  </si>
  <si>
    <t>十二月</t>
  </si>
  <si>
    <t>十一月</t>
  </si>
  <si>
    <t>十月</t>
  </si>
  <si>
    <t>九月</t>
  </si>
  <si>
    <t>八月</t>
  </si>
  <si>
    <t>七月</t>
  </si>
  <si>
    <t>六月</t>
  </si>
  <si>
    <t>五月</t>
  </si>
  <si>
    <t>四月</t>
  </si>
  <si>
    <t>三月</t>
  </si>
  <si>
    <t>二月</t>
  </si>
  <si>
    <t>一月</t>
  </si>
  <si>
    <t>原始金额</t>
    <phoneticPr fontId="2" type="noConversion"/>
  </si>
  <si>
    <t>份额</t>
  </si>
  <si>
    <t>买入金额</t>
    <phoneticPr fontId="2" type="noConversion"/>
  </si>
  <si>
    <t>第二次</t>
  </si>
  <si>
    <t>原始点</t>
  </si>
  <si>
    <t>份额</t>
    <phoneticPr fontId="2" type="noConversion"/>
  </si>
  <si>
    <t>涨幅</t>
    <phoneticPr fontId="2" type="noConversion"/>
  </si>
  <si>
    <t>第一次</t>
  </si>
  <si>
    <t>今年涨幅</t>
    <phoneticPr fontId="2" type="noConversion"/>
  </si>
  <si>
    <t>年末获利</t>
    <phoneticPr fontId="2" type="noConversion"/>
  </si>
  <si>
    <t>最低点</t>
  </si>
  <si>
    <t>最高点</t>
  </si>
  <si>
    <t>去年高点</t>
    <phoneticPr fontId="2" type="noConversion"/>
  </si>
  <si>
    <t>总计涨幅</t>
    <phoneticPr fontId="2" type="noConversion"/>
  </si>
  <si>
    <t>年初</t>
    <phoneticPr fontId="2" type="noConversion"/>
  </si>
  <si>
    <t>年末</t>
    <phoneticPr fontId="2" type="noConversion"/>
  </si>
  <si>
    <t>CURVE</t>
    <phoneticPr fontId="2" type="noConversion"/>
  </si>
  <si>
    <t>0~10</t>
    <phoneticPr fontId="2" type="noConversion"/>
  </si>
  <si>
    <t>10~∞</t>
    <phoneticPr fontId="2" type="noConversion"/>
  </si>
  <si>
    <t>~∞~0</t>
    <phoneticPr fontId="2" type="noConversion"/>
  </si>
  <si>
    <r>
      <t>1-10</t>
    </r>
    <r>
      <rPr>
        <sz val="11"/>
        <color theme="1"/>
        <rFont val="等线"/>
        <family val="2"/>
        <charset val="134"/>
      </rPr>
      <t>Χ</t>
    </r>
    <phoneticPr fontId="2" type="noConversion"/>
  </si>
  <si>
    <t>1+10Χ</t>
  </si>
  <si>
    <t>LADDER</t>
  </si>
  <si>
    <t>-10~0</t>
    <phoneticPr fontId="2" type="noConversion"/>
  </si>
  <si>
    <t>0~∞</t>
    <phoneticPr fontId="2" type="noConversion"/>
  </si>
  <si>
    <t>-20~(10)</t>
    <phoneticPr fontId="2" type="noConversion"/>
  </si>
  <si>
    <t>-30~(20)</t>
    <phoneticPr fontId="2" type="noConversion"/>
  </si>
  <si>
    <t>-1X</t>
    <phoneticPr fontId="2" type="noConversion"/>
  </si>
  <si>
    <t>-40~(30)</t>
    <phoneticPr fontId="2" type="noConversion"/>
  </si>
  <si>
    <t>1+X</t>
    <phoneticPr fontId="2" type="noConversion"/>
  </si>
  <si>
    <t>4*(1+X)</t>
    <phoneticPr fontId="2" type="noConversion"/>
  </si>
  <si>
    <t>3*(1+X)</t>
    <phoneticPr fontId="2" type="noConversion"/>
  </si>
  <si>
    <t>2*(1+X)</t>
    <phoneticPr fontId="2" type="noConversion"/>
  </si>
  <si>
    <t>第二季度</t>
    <phoneticPr fontId="2" type="noConversion"/>
  </si>
  <si>
    <t>第一季度</t>
    <phoneticPr fontId="2" type="noConversion"/>
  </si>
  <si>
    <t>第三季度</t>
    <phoneticPr fontId="2" type="noConversion"/>
  </si>
  <si>
    <t>第四季度</t>
    <phoneticPr fontId="2" type="noConversion"/>
  </si>
  <si>
    <t>1+10Χ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</si>
</sst>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.000_ "/>
    <numFmt numFmtId="177" formatCode="0_ "/>
    <numFmt numFmtId="178" formatCode="0.00_ "/>
    <numFmt numFmtId="179" formatCode="0.00_);[Red]\(0.00\)"/>
  </numFmts>
  <fonts count="5" x14ac:knownFonts="1">
    <font>
      <sz val="11"/>
      <color theme="1"/>
      <name val="等线"/>
      <family val="2"/>
      <scheme val="minor"/>
    </font>
    <font>
      <sz val="11"/>
      <color rgb="FF006100"/>
      <name val="等线"/>
      <family val="2"/>
      <charset val="134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2"/>
      <charset val="134"/>
      <scheme val="minor"/>
    </font>
    <font>
      <sz val="11"/>
      <color theme="1"/>
      <name val="等线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rgb="FFFA8072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 style="thin">
        <color rgb="FF7F7F7F"/>
      </right>
      <top/>
      <bottom/>
      <diagonal/>
    </border>
  </borders>
  <cellStyleXfs count="4">
    <xf numFmtId="0" fontId="0" fillId="0" borderId="0"/>
    <xf numFmtId="0" fontId="1" fillId="2" borderId="0" applyNumberFormat="0" applyBorder="0" applyAlignment="0" applyProtection="0">
      <alignment vertical="center"/>
    </xf>
    <xf numFmtId="0" fontId="3" fillId="3" borderId="0" applyNumberFormat="0" applyBorder="0" applyAlignment="0" applyProtection="0">
      <alignment vertical="center"/>
    </xf>
    <xf numFmtId="0" fontId="3" fillId="4" borderId="0" applyNumberFormat="0" applyBorder="0" applyAlignment="0" applyProtection="0">
      <alignment vertical="center"/>
    </xf>
  </cellStyleXfs>
  <cellXfs count="21">
    <xf numFmtId="0" fontId="0" fillId="0" borderId="0" xfId="0"/>
    <xf numFmtId="176" fontId="0" fillId="0" borderId="0" xfId="0" applyNumberFormat="1"/>
    <xf numFmtId="177" fontId="0" fillId="0" borderId="0" xfId="0" applyNumberFormat="1"/>
    <xf numFmtId="0" fontId="1" fillId="2" borderId="0" xfId="1" applyAlignment="1"/>
    <xf numFmtId="178" fontId="1" fillId="2" borderId="0" xfId="1" applyNumberFormat="1" applyAlignment="1"/>
    <xf numFmtId="178" fontId="0" fillId="0" borderId="0" xfId="0" applyNumberFormat="1"/>
    <xf numFmtId="0" fontId="0" fillId="0" borderId="0" xfId="0" applyAlignment="1">
      <alignment horizontal="center" vertical="center"/>
    </xf>
    <xf numFmtId="0" fontId="0" fillId="5" borderId="0" xfId="0" applyFill="1" applyAlignment="1">
      <alignment horizontal="center"/>
    </xf>
    <xf numFmtId="0" fontId="0" fillId="0" borderId="0" xfId="0" applyFill="1" applyAlignment="1">
      <alignment horizontal="center"/>
    </xf>
    <xf numFmtId="177" fontId="3" fillId="4" borderId="2" xfId="3" applyNumberFormat="1" applyBorder="1" applyAlignment="1"/>
    <xf numFmtId="179" fontId="3" fillId="4" borderId="2" xfId="3" applyNumberFormat="1" applyBorder="1" applyAlignment="1">
      <alignment horizontal="right" vertical="center"/>
    </xf>
    <xf numFmtId="179" fontId="3" fillId="4" borderId="2" xfId="3" applyNumberFormat="1" applyBorder="1" applyAlignment="1">
      <alignment horizontal="right"/>
    </xf>
    <xf numFmtId="0" fontId="3" fillId="3" borderId="1" xfId="2" applyBorder="1" applyAlignment="1"/>
    <xf numFmtId="178" fontId="3" fillId="3" borderId="1" xfId="2" applyNumberFormat="1" applyBorder="1" applyAlignment="1"/>
    <xf numFmtId="179" fontId="3" fillId="3" borderId="2" xfId="2" applyNumberFormat="1" applyBorder="1" applyAlignment="1">
      <alignment horizontal="right"/>
    </xf>
    <xf numFmtId="179" fontId="3" fillId="3" borderId="1" xfId="2" applyNumberFormat="1" applyBorder="1" applyAlignment="1">
      <alignment horizontal="right"/>
    </xf>
    <xf numFmtId="178" fontId="3" fillId="4" borderId="2" xfId="3" applyNumberFormat="1" applyBorder="1" applyAlignment="1"/>
    <xf numFmtId="178" fontId="3" fillId="4" borderId="2" xfId="3" applyNumberFormat="1" applyBorder="1" applyAlignment="1">
      <alignment horizontal="right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Fill="1"/>
  </cellXfs>
  <cellStyles count="4">
    <cellStyle name="20% - 着色 3" xfId="3" builtinId="38"/>
    <cellStyle name="40% - 着色 2" xfId="2" builtinId="35"/>
    <cellStyle name="常规" xfId="0" builtinId="0"/>
    <cellStyle name="好" xfId="1" builtinId="26"/>
  </cellStyles>
  <dxfs count="0"/>
  <tableStyles count="0" defaultTableStyle="TableStyleMedium2" defaultPivotStyle="PivotStyleLight16"/>
  <colors>
    <mruColors>
      <color rgb="FFFFE6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17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48562" y="316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16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7224712" y="30241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657225</xdr:colOff>
          <xdr:row>8</xdr:row>
          <xdr:rowOff>38100</xdr:rowOff>
        </xdr:from>
        <xdr:to>
          <xdr:col>18</xdr:col>
          <xdr:colOff>66675</xdr:colOff>
          <xdr:row>10</xdr:row>
          <xdr:rowOff>9525</xdr:rowOff>
        </xdr:to>
        <xdr:sp macro="" textlink="">
          <xdr:nvSpPr>
            <xdr:cNvPr id="6145" name="Run_LADDER" descr="Select Fil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1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28575</xdr:rowOff>
        </xdr:from>
        <xdr:to>
          <xdr:col>18</xdr:col>
          <xdr:colOff>85725</xdr:colOff>
          <xdr:row>3</xdr:row>
          <xdr:rowOff>0</xdr:rowOff>
        </xdr:to>
        <xdr:sp macro="" textlink="">
          <xdr:nvSpPr>
            <xdr:cNvPr id="6146" name="Run_CURVE" descr="Select Fil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1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31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DA3D5418-74CD-4CA4-9FC6-C82B4639707D}"/>
            </a:ext>
          </a:extLst>
        </xdr:cNvPr>
        <xdr:cNvSpPr txBox="1"/>
      </xdr:nvSpPr>
      <xdr:spPr>
        <a:xfrm>
          <a:off x="9253537" y="316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30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C0A4D491-5E65-450D-9CF6-3781C3E6BB33}"/>
            </a:ext>
          </a:extLst>
        </xdr:cNvPr>
        <xdr:cNvSpPr txBox="1"/>
      </xdr:nvSpPr>
      <xdr:spPr>
        <a:xfrm>
          <a:off x="8901112" y="30241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10</xdr:row>
          <xdr:rowOff>76199</xdr:rowOff>
        </xdr:from>
        <xdr:to>
          <xdr:col>18</xdr:col>
          <xdr:colOff>76200</xdr:colOff>
          <xdr:row>12</xdr:row>
          <xdr:rowOff>0</xdr:rowOff>
        </xdr:to>
        <xdr:sp macro="" textlink="">
          <xdr:nvSpPr>
            <xdr:cNvPr id="7169" name="Run_LADDER" descr="Select File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C8A56A6C-700C-414C-A7C7-2E82642E01B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</xdr:row>
          <xdr:rowOff>76200</xdr:rowOff>
        </xdr:from>
        <xdr:to>
          <xdr:col>18</xdr:col>
          <xdr:colOff>85725</xdr:colOff>
          <xdr:row>5</xdr:row>
          <xdr:rowOff>19049</xdr:rowOff>
        </xdr:to>
        <xdr:sp macro="" textlink="">
          <xdr:nvSpPr>
            <xdr:cNvPr id="7170" name="Run_CURVE" descr="Select File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52023907-C995-4237-BAE8-9BBA808E72D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17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253537" y="31623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16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 txBox="1"/>
      </xdr:nvSpPr>
      <xdr:spPr>
        <a:xfrm>
          <a:off x="8901112" y="302418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657225</xdr:colOff>
          <xdr:row>8</xdr:row>
          <xdr:rowOff>38100</xdr:rowOff>
        </xdr:from>
        <xdr:to>
          <xdr:col>18</xdr:col>
          <xdr:colOff>66675</xdr:colOff>
          <xdr:row>10</xdr:row>
          <xdr:rowOff>9525</xdr:rowOff>
        </xdr:to>
        <xdr:sp macro="" textlink="">
          <xdr:nvSpPr>
            <xdr:cNvPr id="5129" name="Run_LADDER" descr="Select File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0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28575</xdr:rowOff>
        </xdr:from>
        <xdr:to>
          <xdr:col>18</xdr:col>
          <xdr:colOff>85725</xdr:colOff>
          <xdr:row>3</xdr:row>
          <xdr:rowOff>0</xdr:rowOff>
        </xdr:to>
        <xdr:sp macro="" textlink="">
          <xdr:nvSpPr>
            <xdr:cNvPr id="5130" name="Run_CURVE" descr="Select File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0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1023937</xdr:colOff>
      <xdr:row>31</xdr:row>
      <xdr:rowOff>85725</xdr:rowOff>
    </xdr:from>
    <xdr:ext cx="65" cy="172227"/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F59C9077-CEE5-4F7F-A000-A9E08A376D60}"/>
            </a:ext>
          </a:extLst>
        </xdr:cNvPr>
        <xdr:cNvSpPr txBox="1"/>
      </xdr:nvSpPr>
      <xdr:spPr>
        <a:xfrm>
          <a:off x="9253537" y="569595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xdr:oneCellAnchor>
    <xdr:from>
      <xdr:col>10</xdr:col>
      <xdr:colOff>366712</xdr:colOff>
      <xdr:row>30</xdr:row>
      <xdr:rowOff>128587</xdr:rowOff>
    </xdr:from>
    <xdr:ext cx="65" cy="172227"/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3844656E-931F-4798-936F-F88FA180B498}"/>
            </a:ext>
          </a:extLst>
        </xdr:cNvPr>
        <xdr:cNvSpPr txBox="1"/>
      </xdr:nvSpPr>
      <xdr:spPr>
        <a:xfrm>
          <a:off x="8901112" y="5557837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zh-CN" alt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10</xdr:row>
          <xdr:rowOff>76199</xdr:rowOff>
        </xdr:from>
        <xdr:to>
          <xdr:col>18</xdr:col>
          <xdr:colOff>76200</xdr:colOff>
          <xdr:row>12</xdr:row>
          <xdr:rowOff>0</xdr:rowOff>
        </xdr:to>
        <xdr:sp macro="" textlink="">
          <xdr:nvSpPr>
            <xdr:cNvPr id="8193" name="Run_LADDER" descr="Select File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C7597C02-C9A6-4B62-BFCC-49A0467EB6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3</xdr:row>
          <xdr:rowOff>76200</xdr:rowOff>
        </xdr:from>
        <xdr:to>
          <xdr:col>18</xdr:col>
          <xdr:colOff>85725</xdr:colOff>
          <xdr:row>5</xdr:row>
          <xdr:rowOff>19049</xdr:rowOff>
        </xdr:to>
        <xdr:sp macro="" textlink="">
          <xdr:nvSpPr>
            <xdr:cNvPr id="8194" name="Run_CURVE" descr="Select File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55C9B3EB-A6D4-4C88-BEEC-61B83C0F0A3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8.xml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BD0F27-DC37-4DE7-9ED2-64448D2D2B0D}">
  <sheetPr codeName="Sheet1"/>
  <dimension ref="A1:R35"/>
  <sheetViews>
    <sheetView workbookViewId="0">
      <selection activeCell="K2" sqref="K2:K13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18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18" x14ac:dyDescent="0.2">
      <c r="A2" t="s">
        <v>15</v>
      </c>
      <c r="B2" s="12"/>
      <c r="C2" s="12"/>
      <c r="D2" s="9"/>
      <c r="E2" s="17" t="str">
        <f>IFERROR((C2-B2)/B2*100,"0")</f>
        <v>0</v>
      </c>
      <c r="F2" s="16">
        <v>1</v>
      </c>
      <c r="G2" s="13">
        <v>500</v>
      </c>
      <c r="H2" s="4"/>
      <c r="I2" s="12"/>
      <c r="J2" s="12"/>
      <c r="K2" s="9"/>
      <c r="L2" s="17" t="str">
        <f>IFERROR((J2-I2)/I2*100,"0")</f>
        <v>0</v>
      </c>
      <c r="M2" s="16">
        <v>1</v>
      </c>
      <c r="N2" s="13">
        <v>500</v>
      </c>
    </row>
    <row r="3" spans="1:18" x14ac:dyDescent="0.2">
      <c r="A3" t="s">
        <v>14</v>
      </c>
      <c r="B3" s="12"/>
      <c r="C3" s="12"/>
      <c r="D3" s="9"/>
      <c r="E3" s="17" t="str">
        <f t="shared" ref="E3:E13" si="0">IFERROR((C3-B3)/B3*100,"0")</f>
        <v>0</v>
      </c>
      <c r="F3" s="16">
        <v>1</v>
      </c>
      <c r="G3" s="13">
        <v>500</v>
      </c>
      <c r="H3" s="4"/>
      <c r="I3" s="12"/>
      <c r="J3" s="12"/>
      <c r="K3" s="9"/>
      <c r="L3" s="17" t="str">
        <f t="shared" ref="L3:L13" si="1">IFERROR((J3-I3)/I3*100,"0")</f>
        <v>0</v>
      </c>
      <c r="M3" s="16">
        <v>1</v>
      </c>
      <c r="N3" s="13">
        <v>500</v>
      </c>
      <c r="Q3" s="7" t="s">
        <v>32</v>
      </c>
      <c r="R3" s="7"/>
    </row>
    <row r="4" spans="1:18" x14ac:dyDescent="0.2">
      <c r="A4" t="s">
        <v>13</v>
      </c>
      <c r="B4" s="12"/>
      <c r="C4" s="12"/>
      <c r="D4" s="9"/>
      <c r="E4" s="17" t="str">
        <f t="shared" si="0"/>
        <v>0</v>
      </c>
      <c r="F4" s="16">
        <v>1</v>
      </c>
      <c r="G4" s="13">
        <v>500</v>
      </c>
      <c r="H4" s="4"/>
      <c r="I4" s="12"/>
      <c r="J4" s="12"/>
      <c r="K4" s="9"/>
      <c r="L4" s="17" t="str">
        <f t="shared" si="1"/>
        <v>0</v>
      </c>
      <c r="M4" s="16">
        <v>1</v>
      </c>
      <c r="N4" s="13">
        <v>500</v>
      </c>
      <c r="Q4" s="7" t="s">
        <v>35</v>
      </c>
      <c r="R4" s="7" t="s">
        <v>37</v>
      </c>
    </row>
    <row r="5" spans="1:18" x14ac:dyDescent="0.2">
      <c r="A5" t="s">
        <v>12</v>
      </c>
      <c r="B5" s="12"/>
      <c r="C5" s="12"/>
      <c r="D5" s="9"/>
      <c r="E5" s="17" t="str">
        <f t="shared" si="0"/>
        <v>0</v>
      </c>
      <c r="F5" s="16">
        <v>1</v>
      </c>
      <c r="G5" s="13">
        <v>500</v>
      </c>
      <c r="H5" s="4"/>
      <c r="I5" s="12"/>
      <c r="J5" s="12"/>
      <c r="K5" s="9"/>
      <c r="L5" s="17" t="str">
        <f t="shared" si="1"/>
        <v>0</v>
      </c>
      <c r="M5" s="16">
        <v>1</v>
      </c>
      <c r="N5" s="13">
        <v>500</v>
      </c>
      <c r="Q5" s="7" t="s">
        <v>33</v>
      </c>
      <c r="R5" s="7" t="s">
        <v>36</v>
      </c>
    </row>
    <row r="6" spans="1:18" x14ac:dyDescent="0.2">
      <c r="A6" t="s">
        <v>11</v>
      </c>
      <c r="B6" s="12"/>
      <c r="C6" s="12"/>
      <c r="D6" s="9"/>
      <c r="E6" s="17" t="str">
        <f t="shared" si="0"/>
        <v>0</v>
      </c>
      <c r="F6" s="16">
        <v>1</v>
      </c>
      <c r="G6" s="13">
        <v>500</v>
      </c>
      <c r="H6" s="4"/>
      <c r="I6" s="12"/>
      <c r="J6" s="12"/>
      <c r="K6" s="9"/>
      <c r="L6" s="17" t="str">
        <f t="shared" si="1"/>
        <v>0</v>
      </c>
      <c r="M6" s="16">
        <v>1</v>
      </c>
      <c r="N6" s="13">
        <v>500</v>
      </c>
      <c r="Q6" s="7" t="s">
        <v>34</v>
      </c>
      <c r="R6" s="7">
        <v>0</v>
      </c>
    </row>
    <row r="7" spans="1:18" x14ac:dyDescent="0.2">
      <c r="A7" t="s">
        <v>10</v>
      </c>
      <c r="B7" s="12"/>
      <c r="C7" s="12"/>
      <c r="D7" s="9"/>
      <c r="E7" s="17" t="str">
        <f t="shared" si="0"/>
        <v>0</v>
      </c>
      <c r="F7" s="16">
        <v>1</v>
      </c>
      <c r="G7" s="13">
        <v>500</v>
      </c>
      <c r="H7" s="4"/>
      <c r="I7" s="12"/>
      <c r="J7" s="12"/>
      <c r="K7" s="9"/>
      <c r="L7" s="17" t="str">
        <f t="shared" si="1"/>
        <v>0</v>
      </c>
      <c r="M7" s="16">
        <v>1</v>
      </c>
      <c r="N7" s="13">
        <v>500</v>
      </c>
    </row>
    <row r="8" spans="1:18" x14ac:dyDescent="0.2">
      <c r="A8" t="s">
        <v>9</v>
      </c>
      <c r="B8" s="12"/>
      <c r="C8" s="12"/>
      <c r="D8" s="9"/>
      <c r="E8" s="17" t="str">
        <f t="shared" si="0"/>
        <v>0</v>
      </c>
      <c r="F8" s="16">
        <v>1</v>
      </c>
      <c r="G8" s="13">
        <v>500</v>
      </c>
      <c r="H8" s="4"/>
      <c r="I8" s="12"/>
      <c r="J8" s="12"/>
      <c r="K8" s="9"/>
      <c r="L8" s="17" t="str">
        <f t="shared" si="1"/>
        <v>0</v>
      </c>
      <c r="M8" s="16">
        <v>1</v>
      </c>
      <c r="N8" s="13">
        <v>500</v>
      </c>
    </row>
    <row r="9" spans="1:18" x14ac:dyDescent="0.2">
      <c r="A9" t="s">
        <v>8</v>
      </c>
      <c r="B9" s="12"/>
      <c r="C9" s="12"/>
      <c r="D9" s="9"/>
      <c r="E9" s="17" t="str">
        <f t="shared" si="0"/>
        <v>0</v>
      </c>
      <c r="F9" s="16">
        <v>1</v>
      </c>
      <c r="G9" s="13">
        <v>500</v>
      </c>
      <c r="H9" s="4"/>
      <c r="I9" s="12"/>
      <c r="J9" s="12"/>
      <c r="K9" s="9"/>
      <c r="L9" s="17" t="str">
        <f t="shared" si="1"/>
        <v>0</v>
      </c>
      <c r="M9" s="16">
        <v>1</v>
      </c>
      <c r="N9" s="13">
        <v>500</v>
      </c>
    </row>
    <row r="10" spans="1:18" x14ac:dyDescent="0.2">
      <c r="A10" t="s">
        <v>7</v>
      </c>
      <c r="B10" s="12"/>
      <c r="C10" s="12"/>
      <c r="D10" s="9"/>
      <c r="E10" s="17" t="str">
        <f t="shared" si="0"/>
        <v>0</v>
      </c>
      <c r="F10" s="16">
        <v>1</v>
      </c>
      <c r="G10" s="13">
        <v>500</v>
      </c>
      <c r="H10" s="4"/>
      <c r="I10" s="12"/>
      <c r="J10" s="12"/>
      <c r="K10" s="9"/>
      <c r="L10" s="17" t="str">
        <f t="shared" si="1"/>
        <v>0</v>
      </c>
      <c r="M10" s="16">
        <v>1</v>
      </c>
      <c r="N10" s="13">
        <v>500</v>
      </c>
      <c r="Q10" s="8" t="s">
        <v>38</v>
      </c>
      <c r="R10" s="8"/>
    </row>
    <row r="11" spans="1:18" x14ac:dyDescent="0.2">
      <c r="A11" t="s">
        <v>6</v>
      </c>
      <c r="B11" s="12"/>
      <c r="C11" s="12"/>
      <c r="D11" s="9"/>
      <c r="E11" s="17" t="str">
        <f t="shared" si="0"/>
        <v>0</v>
      </c>
      <c r="F11" s="16">
        <v>1</v>
      </c>
      <c r="G11" s="13">
        <v>500</v>
      </c>
      <c r="H11" s="4"/>
      <c r="I11" s="12"/>
      <c r="J11" s="12"/>
      <c r="K11" s="9"/>
      <c r="L11" s="17" t="str">
        <f t="shared" si="1"/>
        <v>0</v>
      </c>
      <c r="M11" s="16">
        <v>1</v>
      </c>
      <c r="N11" s="13">
        <v>500</v>
      </c>
      <c r="Q11" s="8" t="s">
        <v>44</v>
      </c>
      <c r="R11" s="8" t="s">
        <v>46</v>
      </c>
    </row>
    <row r="12" spans="1:18" x14ac:dyDescent="0.2">
      <c r="A12" t="s">
        <v>5</v>
      </c>
      <c r="B12" s="12"/>
      <c r="C12" s="12"/>
      <c r="D12" s="9"/>
      <c r="E12" s="17" t="str">
        <f t="shared" si="0"/>
        <v>0</v>
      </c>
      <c r="F12" s="16">
        <v>1</v>
      </c>
      <c r="G12" s="13">
        <v>500</v>
      </c>
      <c r="H12" s="4"/>
      <c r="I12" s="12"/>
      <c r="J12" s="12"/>
      <c r="K12" s="9"/>
      <c r="L12" s="17" t="str">
        <f t="shared" si="1"/>
        <v>0</v>
      </c>
      <c r="M12" s="16">
        <v>1</v>
      </c>
      <c r="N12" s="13">
        <v>500</v>
      </c>
      <c r="Q12" s="8" t="s">
        <v>42</v>
      </c>
      <c r="R12" s="8" t="s">
        <v>47</v>
      </c>
    </row>
    <row r="13" spans="1:18" x14ac:dyDescent="0.2">
      <c r="A13" t="s">
        <v>4</v>
      </c>
      <c r="B13" s="12"/>
      <c r="C13" s="12"/>
      <c r="D13" s="9"/>
      <c r="E13" s="17" t="str">
        <f t="shared" si="0"/>
        <v>0</v>
      </c>
      <c r="F13" s="16">
        <v>1</v>
      </c>
      <c r="G13" s="13">
        <v>500</v>
      </c>
      <c r="H13" s="4"/>
      <c r="I13" s="12"/>
      <c r="J13" s="12"/>
      <c r="K13" s="9"/>
      <c r="L13" s="17" t="str">
        <f t="shared" si="1"/>
        <v>0</v>
      </c>
      <c r="M13" s="16">
        <v>1</v>
      </c>
      <c r="N13" s="13">
        <v>500</v>
      </c>
      <c r="Q13" s="8" t="s">
        <v>41</v>
      </c>
      <c r="R13" s="8" t="s">
        <v>48</v>
      </c>
    </row>
    <row r="14" spans="1:18" x14ac:dyDescent="0.2">
      <c r="D14" s="9">
        <f>SUM(D2:D13)</f>
        <v>0</v>
      </c>
      <c r="F14" s="16">
        <f>SUM(F2:F13)</f>
        <v>12</v>
      </c>
      <c r="G14" s="5"/>
      <c r="H14" s="4"/>
      <c r="K14" s="9">
        <f>SUM(K2:K13)</f>
        <v>0</v>
      </c>
      <c r="M14" s="16">
        <f>SUM(M2:M13)</f>
        <v>12</v>
      </c>
      <c r="Q14" s="8" t="s">
        <v>39</v>
      </c>
      <c r="R14" s="8" t="s">
        <v>45</v>
      </c>
    </row>
    <row r="15" spans="1:18" x14ac:dyDescent="0.2">
      <c r="G15" s="5"/>
      <c r="H15" s="4"/>
      <c r="Q15" s="8" t="s">
        <v>40</v>
      </c>
      <c r="R15" s="8" t="s">
        <v>43</v>
      </c>
    </row>
    <row r="16" spans="1:18" x14ac:dyDescent="0.2">
      <c r="A16" t="s">
        <v>30</v>
      </c>
      <c r="B16" s="12"/>
      <c r="C16" t="s">
        <v>3</v>
      </c>
      <c r="D16" s="10">
        <f>SUM(K14,D14)</f>
        <v>0</v>
      </c>
      <c r="F16" s="16">
        <f>SUM(F14,M14)</f>
        <v>24</v>
      </c>
      <c r="G16" s="5"/>
      <c r="H16" s="4"/>
      <c r="R16" s="6"/>
    </row>
    <row r="17" spans="1:13" x14ac:dyDescent="0.2">
      <c r="A17" t="s">
        <v>31</v>
      </c>
      <c r="B17" s="12"/>
      <c r="C17" t="s">
        <v>2</v>
      </c>
      <c r="D17" s="10">
        <f>IFERROR((D16/F16),"")</f>
        <v>0</v>
      </c>
    </row>
    <row r="18" spans="1:13" x14ac:dyDescent="0.2">
      <c r="A18" t="s">
        <v>27</v>
      </c>
      <c r="B18" s="12"/>
      <c r="C18" t="s">
        <v>24</v>
      </c>
      <c r="D18" s="11" t="str">
        <f>IFERROR((B17-B16)/B16*100,"")</f>
        <v/>
      </c>
    </row>
    <row r="19" spans="1:13" x14ac:dyDescent="0.2">
      <c r="A19" t="s">
        <v>26</v>
      </c>
      <c r="B19" s="12"/>
      <c r="C19" t="s">
        <v>29</v>
      </c>
      <c r="D19" s="11" t="str">
        <f>IFERROR((B18-B19)/B18*100,"")</f>
        <v/>
      </c>
    </row>
    <row r="20" spans="1:13" x14ac:dyDescent="0.2">
      <c r="A20" t="s">
        <v>28</v>
      </c>
      <c r="B20" s="12"/>
      <c r="C20" t="s">
        <v>25</v>
      </c>
      <c r="D20" s="15"/>
    </row>
    <row r="21" spans="1:13" x14ac:dyDescent="0.2">
      <c r="C21" t="s">
        <v>0</v>
      </c>
      <c r="D21" s="14" t="str">
        <f>IFERROR((D20/D16)*100,"")</f>
        <v/>
      </c>
    </row>
    <row r="28" spans="1:13" x14ac:dyDescent="0.2">
      <c r="D28"/>
      <c r="E28"/>
      <c r="F28"/>
    </row>
    <row r="29" spans="1:13" x14ac:dyDescent="0.2">
      <c r="D29"/>
      <c r="E29"/>
      <c r="F29"/>
      <c r="K29"/>
      <c r="L29"/>
      <c r="M29"/>
    </row>
    <row r="30" spans="1:13" x14ac:dyDescent="0.2">
      <c r="D30"/>
      <c r="E30"/>
      <c r="F30"/>
      <c r="K30"/>
      <c r="L30"/>
      <c r="M30"/>
    </row>
    <row r="31" spans="1:13" x14ac:dyDescent="0.2">
      <c r="D31"/>
      <c r="E31"/>
      <c r="F31"/>
      <c r="H31" s="4"/>
      <c r="K31"/>
      <c r="L31"/>
      <c r="M31"/>
    </row>
    <row r="32" spans="1:13" x14ac:dyDescent="0.2">
      <c r="D32"/>
      <c r="E32"/>
      <c r="F32"/>
      <c r="K32"/>
      <c r="L32"/>
      <c r="M32"/>
    </row>
    <row r="33" spans="4:13" x14ac:dyDescent="0.2">
      <c r="D33"/>
      <c r="E33"/>
      <c r="F33"/>
      <c r="K33"/>
      <c r="L33"/>
      <c r="M33"/>
    </row>
    <row r="34" spans="4:13" x14ac:dyDescent="0.2">
      <c r="D34"/>
      <c r="E34"/>
      <c r="F34"/>
      <c r="K34"/>
      <c r="L34"/>
      <c r="M34"/>
    </row>
    <row r="35" spans="4:13" x14ac:dyDescent="0.2">
      <c r="D35"/>
      <c r="E35"/>
      <c r="F35"/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6145" r:id="rId4" name="Run_LADDER">
          <controlPr defaultSize="0" autoFill="0" autoLine="0" altText="Select File" r:id="rId5">
            <anchor moveWithCells="1" sizeWithCells="1">
              <from>
                <xdr:col>16</xdr:col>
                <xdr:colOff>657225</xdr:colOff>
                <xdr:row>8</xdr:row>
                <xdr:rowOff>38100</xdr:rowOff>
              </from>
              <to>
                <xdr:col>18</xdr:col>
                <xdr:colOff>66675</xdr:colOff>
                <xdr:row>10</xdr:row>
                <xdr:rowOff>9525</xdr:rowOff>
              </to>
            </anchor>
          </controlPr>
        </control>
      </mc:Choice>
      <mc:Fallback>
        <control shapeId="6145" r:id="rId4" name="Run_LADDER"/>
      </mc:Fallback>
    </mc:AlternateContent>
    <mc:AlternateContent xmlns:mc="http://schemas.openxmlformats.org/markup-compatibility/2006">
      <mc:Choice Requires="x14">
        <control shapeId="6146" r:id="rId6" name="Run_CURVE">
          <controlPr defaultSize="0" autoFill="0" autoLine="0" altText="Select File" r:id="rId7">
            <anchor moveWithCells="1" sizeWithCells="1">
              <from>
                <xdr:col>17</xdr:col>
                <xdr:colOff>9525</xdr:colOff>
                <xdr:row>1</xdr:row>
                <xdr:rowOff>28575</xdr:rowOff>
              </from>
              <to>
                <xdr:col>18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6146" r:id="rId6" name="Run_CURV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F7EAF0-A2E9-4A75-965B-39B23513B301}">
  <sheetPr codeName="Sheet3"/>
  <dimension ref="A1:T49"/>
  <sheetViews>
    <sheetView workbookViewId="0">
      <selection activeCell="K2" sqref="K2:K27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20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20" x14ac:dyDescent="0.2">
      <c r="A2" s="18" t="s">
        <v>50</v>
      </c>
      <c r="B2" s="12"/>
      <c r="C2" s="12"/>
      <c r="D2" s="9"/>
      <c r="E2" s="17" t="str">
        <f>IFERROR((C2-B2)/B2*100,"0")</f>
        <v>0</v>
      </c>
      <c r="F2" s="16">
        <v>1</v>
      </c>
      <c r="G2" s="13">
        <v>500</v>
      </c>
      <c r="H2" s="4"/>
      <c r="I2" s="12"/>
      <c r="J2" s="12"/>
      <c r="K2" s="9"/>
      <c r="L2" s="17" t="str">
        <f>IFERROR((J2-I2)/I2*100,"0")</f>
        <v>0</v>
      </c>
      <c r="M2" s="16">
        <v>1</v>
      </c>
      <c r="N2" s="13">
        <v>500</v>
      </c>
    </row>
    <row r="3" spans="1:20" x14ac:dyDescent="0.2">
      <c r="A3" s="18"/>
      <c r="B3" s="12"/>
      <c r="C3" s="12"/>
      <c r="D3" s="9"/>
      <c r="E3" s="17" t="str">
        <f t="shared" ref="E3:E27" si="0">IFERROR((C3-B3)/B3*100,"0")</f>
        <v>0</v>
      </c>
      <c r="F3" s="16">
        <v>1</v>
      </c>
      <c r="G3" s="13">
        <v>500</v>
      </c>
      <c r="H3" s="4"/>
      <c r="I3" s="12"/>
      <c r="J3" s="12"/>
      <c r="K3" s="9"/>
      <c r="L3" s="17" t="str">
        <f t="shared" ref="L3:L27" si="1">IFERROR((J3-I3)/I3*100,"0")</f>
        <v>0</v>
      </c>
      <c r="M3" s="16">
        <v>1</v>
      </c>
      <c r="N3" s="13">
        <v>500</v>
      </c>
      <c r="P3" s="8"/>
      <c r="Q3" s="8"/>
      <c r="R3" s="8"/>
      <c r="S3" s="8"/>
      <c r="T3" s="8"/>
    </row>
    <row r="4" spans="1:20" x14ac:dyDescent="0.2">
      <c r="A4" s="18"/>
      <c r="B4" s="12"/>
      <c r="C4" s="12"/>
      <c r="D4" s="9"/>
      <c r="E4" s="17" t="str">
        <f t="shared" si="0"/>
        <v>0</v>
      </c>
      <c r="F4" s="16">
        <v>1</v>
      </c>
      <c r="G4" s="13">
        <v>500</v>
      </c>
      <c r="H4" s="4"/>
      <c r="I4" s="12"/>
      <c r="J4" s="12"/>
      <c r="K4" s="9"/>
      <c r="L4" s="17" t="str">
        <f t="shared" si="1"/>
        <v>0</v>
      </c>
      <c r="M4" s="16">
        <v>1</v>
      </c>
      <c r="N4" s="13">
        <v>500</v>
      </c>
      <c r="P4" s="8"/>
      <c r="Q4" s="8"/>
      <c r="R4" s="8"/>
      <c r="S4" s="8"/>
      <c r="T4" s="8"/>
    </row>
    <row r="5" spans="1:20" x14ac:dyDescent="0.2">
      <c r="A5" s="18"/>
      <c r="B5" s="12"/>
      <c r="C5" s="12"/>
      <c r="D5" s="9"/>
      <c r="E5" s="17" t="str">
        <f t="shared" si="0"/>
        <v>0</v>
      </c>
      <c r="F5" s="16">
        <v>1</v>
      </c>
      <c r="G5" s="13">
        <v>500</v>
      </c>
      <c r="H5" s="4"/>
      <c r="I5" s="12"/>
      <c r="J5" s="12"/>
      <c r="K5" s="9"/>
      <c r="L5" s="17" t="str">
        <f t="shared" si="1"/>
        <v>0</v>
      </c>
      <c r="M5" s="16">
        <v>1</v>
      </c>
      <c r="N5" s="13">
        <v>500</v>
      </c>
      <c r="P5" s="8"/>
      <c r="Q5" s="7" t="s">
        <v>32</v>
      </c>
      <c r="R5" s="7"/>
      <c r="S5" s="8"/>
      <c r="T5" s="8"/>
    </row>
    <row r="6" spans="1:20" x14ac:dyDescent="0.2">
      <c r="A6" s="18"/>
      <c r="B6" s="12"/>
      <c r="C6" s="12"/>
      <c r="D6" s="9"/>
      <c r="E6" s="17" t="str">
        <f t="shared" si="0"/>
        <v>0</v>
      </c>
      <c r="F6" s="16">
        <v>1</v>
      </c>
      <c r="G6" s="13">
        <v>500</v>
      </c>
      <c r="H6" s="4"/>
      <c r="I6" s="12"/>
      <c r="J6" s="12"/>
      <c r="K6" s="9"/>
      <c r="L6" s="17" t="str">
        <f t="shared" si="1"/>
        <v>0</v>
      </c>
      <c r="M6" s="16">
        <v>1</v>
      </c>
      <c r="N6" s="13">
        <v>500</v>
      </c>
      <c r="P6" s="8"/>
      <c r="Q6" s="7" t="s">
        <v>35</v>
      </c>
      <c r="R6" s="7" t="s">
        <v>53</v>
      </c>
      <c r="S6" s="8"/>
      <c r="T6" s="8"/>
    </row>
    <row r="7" spans="1:20" x14ac:dyDescent="0.2">
      <c r="A7" s="18"/>
      <c r="B7" s="12"/>
      <c r="C7" s="12"/>
      <c r="D7" s="9"/>
      <c r="E7" s="17" t="str">
        <f t="shared" si="0"/>
        <v>0</v>
      </c>
      <c r="F7" s="16">
        <v>1</v>
      </c>
      <c r="G7" s="13">
        <v>500</v>
      </c>
      <c r="H7" s="4"/>
      <c r="I7" s="12"/>
      <c r="J7" s="12"/>
      <c r="K7" s="9"/>
      <c r="L7" s="17" t="str">
        <f t="shared" si="1"/>
        <v>0</v>
      </c>
      <c r="M7" s="16">
        <v>1</v>
      </c>
      <c r="N7" s="13">
        <v>500</v>
      </c>
      <c r="P7" s="8"/>
      <c r="Q7" s="7" t="s">
        <v>33</v>
      </c>
      <c r="R7" s="7" t="s">
        <v>36</v>
      </c>
      <c r="S7" s="8"/>
      <c r="T7" s="8"/>
    </row>
    <row r="8" spans="1:20" x14ac:dyDescent="0.2">
      <c r="A8" s="18" t="s">
        <v>49</v>
      </c>
      <c r="B8" s="12"/>
      <c r="C8" s="12"/>
      <c r="D8" s="9"/>
      <c r="E8" s="17" t="str">
        <f t="shared" si="0"/>
        <v>0</v>
      </c>
      <c r="F8" s="16">
        <v>1</v>
      </c>
      <c r="G8" s="13">
        <v>500</v>
      </c>
      <c r="H8" s="4"/>
      <c r="I8" s="12"/>
      <c r="J8" s="12"/>
      <c r="K8" s="9"/>
      <c r="L8" s="17" t="str">
        <f t="shared" si="1"/>
        <v>0</v>
      </c>
      <c r="M8" s="16">
        <v>1</v>
      </c>
      <c r="N8" s="13">
        <v>500</v>
      </c>
      <c r="P8" s="8"/>
      <c r="Q8" s="7" t="s">
        <v>34</v>
      </c>
      <c r="R8" s="7">
        <v>0</v>
      </c>
      <c r="S8" s="8"/>
      <c r="T8" s="8"/>
    </row>
    <row r="9" spans="1:20" x14ac:dyDescent="0.2">
      <c r="A9" s="18"/>
      <c r="B9" s="12"/>
      <c r="C9" s="12"/>
      <c r="D9" s="9"/>
      <c r="E9" s="17" t="str">
        <f t="shared" si="0"/>
        <v>0</v>
      </c>
      <c r="F9" s="16">
        <v>1</v>
      </c>
      <c r="G9" s="13">
        <v>500</v>
      </c>
      <c r="H9" s="4"/>
      <c r="I9" s="12"/>
      <c r="J9" s="12"/>
      <c r="K9" s="9"/>
      <c r="L9" s="17" t="str">
        <f t="shared" si="1"/>
        <v>0</v>
      </c>
      <c r="M9" s="16">
        <v>1</v>
      </c>
      <c r="N9" s="13">
        <v>500</v>
      </c>
      <c r="P9" s="8"/>
      <c r="Q9" s="8"/>
      <c r="R9" s="8"/>
      <c r="S9" s="8"/>
      <c r="T9" s="8"/>
    </row>
    <row r="10" spans="1:20" x14ac:dyDescent="0.2">
      <c r="A10" s="18"/>
      <c r="B10" s="12"/>
      <c r="C10" s="12"/>
      <c r="D10" s="9"/>
      <c r="E10" s="17" t="str">
        <f t="shared" si="0"/>
        <v>0</v>
      </c>
      <c r="F10" s="16">
        <v>1</v>
      </c>
      <c r="G10" s="13">
        <v>500</v>
      </c>
      <c r="H10" s="4"/>
      <c r="I10" s="12"/>
      <c r="J10" s="12"/>
      <c r="K10" s="9"/>
      <c r="L10" s="17" t="str">
        <f t="shared" si="1"/>
        <v>0</v>
      </c>
      <c r="M10" s="16">
        <v>1</v>
      </c>
      <c r="N10" s="13">
        <v>500</v>
      </c>
      <c r="P10" s="8"/>
      <c r="Q10" s="8"/>
      <c r="R10" s="8"/>
      <c r="S10" s="8"/>
      <c r="T10" s="8"/>
    </row>
    <row r="11" spans="1:20" x14ac:dyDescent="0.2">
      <c r="A11" s="18"/>
      <c r="B11" s="12"/>
      <c r="C11" s="12"/>
      <c r="D11" s="9"/>
      <c r="E11" s="17" t="str">
        <f t="shared" si="0"/>
        <v>0</v>
      </c>
      <c r="F11" s="16">
        <v>1</v>
      </c>
      <c r="G11" s="13">
        <v>500</v>
      </c>
      <c r="H11" s="4"/>
      <c r="I11" s="12"/>
      <c r="J11" s="12"/>
      <c r="K11" s="9"/>
      <c r="L11" s="17" t="str">
        <f t="shared" si="1"/>
        <v>0</v>
      </c>
      <c r="M11" s="16">
        <v>1</v>
      </c>
      <c r="N11" s="13">
        <v>500</v>
      </c>
      <c r="Q11" s="20"/>
      <c r="R11" s="20"/>
    </row>
    <row r="12" spans="1:20" x14ac:dyDescent="0.2">
      <c r="A12" s="18"/>
      <c r="B12" s="12"/>
      <c r="C12" s="12"/>
      <c r="D12" s="9"/>
      <c r="E12" s="17" t="str">
        <f t="shared" si="0"/>
        <v>0</v>
      </c>
      <c r="F12" s="16">
        <v>1</v>
      </c>
      <c r="G12" s="13">
        <v>500</v>
      </c>
      <c r="H12" s="4"/>
      <c r="I12" s="12"/>
      <c r="J12" s="12"/>
      <c r="K12" s="9"/>
      <c r="L12" s="17" t="str">
        <f t="shared" si="1"/>
        <v>0</v>
      </c>
      <c r="M12" s="16">
        <v>1</v>
      </c>
      <c r="N12" s="13">
        <v>500</v>
      </c>
      <c r="Q12" s="8" t="s">
        <v>38</v>
      </c>
      <c r="R12" s="8"/>
    </row>
    <row r="13" spans="1:20" x14ac:dyDescent="0.2">
      <c r="A13" s="18"/>
      <c r="B13" s="12"/>
      <c r="C13" s="12"/>
      <c r="D13" s="9"/>
      <c r="E13" s="17" t="str">
        <f t="shared" si="0"/>
        <v>0</v>
      </c>
      <c r="F13" s="16">
        <v>1</v>
      </c>
      <c r="G13" s="13">
        <v>500</v>
      </c>
      <c r="H13" s="4"/>
      <c r="I13" s="12"/>
      <c r="J13" s="12"/>
      <c r="K13" s="9"/>
      <c r="L13" s="17" t="str">
        <f t="shared" si="1"/>
        <v>0</v>
      </c>
      <c r="M13" s="16">
        <v>1</v>
      </c>
      <c r="N13" s="13">
        <v>500</v>
      </c>
      <c r="Q13" s="8" t="s">
        <v>44</v>
      </c>
      <c r="R13" s="8" t="s">
        <v>46</v>
      </c>
    </row>
    <row r="14" spans="1:20" x14ac:dyDescent="0.2">
      <c r="A14" s="18"/>
      <c r="B14" s="12"/>
      <c r="C14" s="12"/>
      <c r="D14" s="9"/>
      <c r="E14" s="17" t="str">
        <f t="shared" si="0"/>
        <v>0</v>
      </c>
      <c r="F14" s="16">
        <v>1</v>
      </c>
      <c r="G14" s="13">
        <v>500</v>
      </c>
      <c r="H14" s="4"/>
      <c r="I14" s="12"/>
      <c r="J14" s="12"/>
      <c r="K14" s="9"/>
      <c r="L14" s="17" t="str">
        <f t="shared" si="1"/>
        <v>0</v>
      </c>
      <c r="M14" s="16">
        <v>1</v>
      </c>
      <c r="N14" s="13">
        <v>500</v>
      </c>
      <c r="Q14" s="8" t="s">
        <v>42</v>
      </c>
      <c r="R14" s="8" t="s">
        <v>47</v>
      </c>
    </row>
    <row r="15" spans="1:20" x14ac:dyDescent="0.2">
      <c r="A15" s="18" t="s">
        <v>51</v>
      </c>
      <c r="B15" s="12"/>
      <c r="C15" s="12"/>
      <c r="D15" s="9"/>
      <c r="E15" s="17" t="str">
        <f t="shared" si="0"/>
        <v>0</v>
      </c>
      <c r="F15" s="16">
        <v>1</v>
      </c>
      <c r="G15" s="13">
        <v>500</v>
      </c>
      <c r="H15" s="4"/>
      <c r="I15" s="12"/>
      <c r="J15" s="12"/>
      <c r="K15" s="9"/>
      <c r="L15" s="17" t="str">
        <f t="shared" si="1"/>
        <v>0</v>
      </c>
      <c r="M15" s="16">
        <v>1</v>
      </c>
      <c r="N15" s="13">
        <v>500</v>
      </c>
      <c r="Q15" s="8" t="s">
        <v>41</v>
      </c>
      <c r="R15" s="8" t="s">
        <v>48</v>
      </c>
    </row>
    <row r="16" spans="1:20" x14ac:dyDescent="0.2">
      <c r="A16" s="18"/>
      <c r="B16" s="12"/>
      <c r="C16" s="12"/>
      <c r="D16" s="9"/>
      <c r="E16" s="17" t="str">
        <f t="shared" si="0"/>
        <v>0</v>
      </c>
      <c r="F16" s="16">
        <v>1</v>
      </c>
      <c r="G16" s="13">
        <v>500</v>
      </c>
      <c r="H16" s="4"/>
      <c r="I16" s="12"/>
      <c r="J16" s="12"/>
      <c r="K16" s="9"/>
      <c r="L16" s="17" t="str">
        <f t="shared" si="1"/>
        <v>0</v>
      </c>
      <c r="M16" s="16">
        <v>1</v>
      </c>
      <c r="N16" s="13">
        <v>500</v>
      </c>
      <c r="Q16" s="8" t="s">
        <v>39</v>
      </c>
      <c r="R16" s="8" t="s">
        <v>45</v>
      </c>
    </row>
    <row r="17" spans="1:18" x14ac:dyDescent="0.2">
      <c r="A17" s="18"/>
      <c r="B17" s="12"/>
      <c r="C17" s="12"/>
      <c r="D17" s="9"/>
      <c r="E17" s="17" t="str">
        <f t="shared" si="0"/>
        <v>0</v>
      </c>
      <c r="F17" s="16">
        <v>1</v>
      </c>
      <c r="G17" s="13">
        <v>500</v>
      </c>
      <c r="H17" s="4"/>
      <c r="I17" s="12"/>
      <c r="J17" s="12"/>
      <c r="K17" s="9"/>
      <c r="L17" s="17" t="str">
        <f t="shared" si="1"/>
        <v>0</v>
      </c>
      <c r="M17" s="16">
        <v>1</v>
      </c>
      <c r="N17" s="13">
        <v>500</v>
      </c>
      <c r="Q17" s="8" t="s">
        <v>40</v>
      </c>
      <c r="R17" s="8" t="s">
        <v>43</v>
      </c>
    </row>
    <row r="18" spans="1:18" x14ac:dyDescent="0.2">
      <c r="A18" s="18"/>
      <c r="B18" s="12"/>
      <c r="C18" s="12"/>
      <c r="D18" s="9"/>
      <c r="E18" s="17" t="str">
        <f t="shared" si="0"/>
        <v>0</v>
      </c>
      <c r="F18" s="16">
        <v>1</v>
      </c>
      <c r="G18" s="13">
        <v>500</v>
      </c>
      <c r="H18" s="4"/>
      <c r="I18" s="12"/>
      <c r="J18" s="12"/>
      <c r="K18" s="9"/>
      <c r="L18" s="17" t="str">
        <f t="shared" si="1"/>
        <v>0</v>
      </c>
      <c r="M18" s="16">
        <v>1</v>
      </c>
      <c r="N18" s="13">
        <v>500</v>
      </c>
    </row>
    <row r="19" spans="1:18" x14ac:dyDescent="0.2">
      <c r="A19" s="18"/>
      <c r="B19" s="12"/>
      <c r="C19" s="12"/>
      <c r="D19" s="9"/>
      <c r="E19" s="17" t="str">
        <f t="shared" si="0"/>
        <v>0</v>
      </c>
      <c r="F19" s="16">
        <v>1</v>
      </c>
      <c r="G19" s="13">
        <v>500</v>
      </c>
      <c r="H19" s="4"/>
      <c r="I19" s="12"/>
      <c r="J19" s="12"/>
      <c r="K19" s="9"/>
      <c r="L19" s="17" t="str">
        <f t="shared" si="1"/>
        <v>0</v>
      </c>
      <c r="M19" s="16">
        <v>1</v>
      </c>
      <c r="N19" s="13">
        <v>500</v>
      </c>
      <c r="Q19" s="8"/>
      <c r="R19" s="8"/>
    </row>
    <row r="20" spans="1:18" x14ac:dyDescent="0.2">
      <c r="A20" s="18"/>
      <c r="B20" s="12"/>
      <c r="C20" s="12"/>
      <c r="D20" s="9"/>
      <c r="E20" s="17" t="str">
        <f t="shared" si="0"/>
        <v>0</v>
      </c>
      <c r="F20" s="16">
        <v>1</v>
      </c>
      <c r="G20" s="13">
        <v>500</v>
      </c>
      <c r="H20" s="4"/>
      <c r="I20" s="12"/>
      <c r="J20" s="12"/>
      <c r="K20" s="9"/>
      <c r="L20" s="17" t="str">
        <f t="shared" si="1"/>
        <v>0</v>
      </c>
      <c r="M20" s="16">
        <v>1</v>
      </c>
      <c r="N20" s="13">
        <v>500</v>
      </c>
      <c r="Q20" s="8"/>
      <c r="R20" s="8"/>
    </row>
    <row r="21" spans="1:18" x14ac:dyDescent="0.2">
      <c r="A21" s="19" t="s">
        <v>52</v>
      </c>
      <c r="B21" s="12"/>
      <c r="C21" s="12"/>
      <c r="D21" s="9"/>
      <c r="E21" s="17" t="str">
        <f t="shared" si="0"/>
        <v>0</v>
      </c>
      <c r="F21" s="16">
        <v>1</v>
      </c>
      <c r="G21" s="13">
        <v>500</v>
      </c>
      <c r="H21" s="4"/>
      <c r="I21" s="12"/>
      <c r="J21" s="12"/>
      <c r="K21" s="9"/>
      <c r="L21" s="17" t="str">
        <f t="shared" si="1"/>
        <v>0</v>
      </c>
      <c r="M21" s="16">
        <v>1</v>
      </c>
      <c r="N21" s="13">
        <v>500</v>
      </c>
      <c r="Q21" s="8"/>
      <c r="R21" s="8"/>
    </row>
    <row r="22" spans="1:18" x14ac:dyDescent="0.2">
      <c r="A22" s="19"/>
      <c r="B22" s="12"/>
      <c r="C22" s="12"/>
      <c r="D22" s="9"/>
      <c r="E22" s="17" t="str">
        <f t="shared" si="0"/>
        <v>0</v>
      </c>
      <c r="F22" s="16">
        <v>1</v>
      </c>
      <c r="G22" s="13">
        <v>500</v>
      </c>
      <c r="H22" s="4"/>
      <c r="I22" s="12"/>
      <c r="J22" s="12"/>
      <c r="K22" s="9"/>
      <c r="L22" s="17" t="str">
        <f t="shared" si="1"/>
        <v>0</v>
      </c>
      <c r="M22" s="16">
        <v>1</v>
      </c>
      <c r="N22" s="13">
        <v>500</v>
      </c>
      <c r="Q22" s="8"/>
      <c r="R22" s="8"/>
    </row>
    <row r="23" spans="1:18" x14ac:dyDescent="0.2">
      <c r="A23" s="19"/>
      <c r="B23" s="12"/>
      <c r="C23" s="12"/>
      <c r="D23" s="9"/>
      <c r="E23" s="17" t="str">
        <f t="shared" si="0"/>
        <v>0</v>
      </c>
      <c r="F23" s="16">
        <v>1</v>
      </c>
      <c r="G23" s="13">
        <v>500</v>
      </c>
      <c r="H23" s="4"/>
      <c r="I23" s="12"/>
      <c r="J23" s="12"/>
      <c r="K23" s="9"/>
      <c r="L23" s="17" t="str">
        <f t="shared" si="1"/>
        <v>0</v>
      </c>
      <c r="M23" s="16">
        <v>1</v>
      </c>
      <c r="N23" s="13">
        <v>500</v>
      </c>
      <c r="Q23" s="8"/>
      <c r="R23" s="8"/>
    </row>
    <row r="24" spans="1:18" x14ac:dyDescent="0.2">
      <c r="A24" s="19"/>
      <c r="B24" s="12"/>
      <c r="C24" s="12"/>
      <c r="D24" s="9"/>
      <c r="E24" s="17" t="str">
        <f t="shared" si="0"/>
        <v>0</v>
      </c>
      <c r="F24" s="16">
        <v>1</v>
      </c>
      <c r="G24" s="13">
        <v>500</v>
      </c>
      <c r="H24" s="4"/>
      <c r="I24" s="12"/>
      <c r="J24" s="12"/>
      <c r="K24" s="9"/>
      <c r="L24" s="17" t="str">
        <f t="shared" si="1"/>
        <v>0</v>
      </c>
      <c r="M24" s="16">
        <v>1</v>
      </c>
      <c r="N24" s="13">
        <v>500</v>
      </c>
      <c r="Q24" s="8"/>
      <c r="R24" s="8"/>
    </row>
    <row r="25" spans="1:18" x14ac:dyDescent="0.2">
      <c r="A25" s="19"/>
      <c r="B25" s="12"/>
      <c r="C25" s="12"/>
      <c r="D25" s="9"/>
      <c r="E25" s="17" t="str">
        <f t="shared" si="0"/>
        <v>0</v>
      </c>
      <c r="F25" s="16">
        <v>1</v>
      </c>
      <c r="G25" s="13">
        <v>500</v>
      </c>
      <c r="H25" s="4"/>
      <c r="I25" s="12"/>
      <c r="J25" s="12"/>
      <c r="K25" s="9"/>
      <c r="L25" s="17" t="str">
        <f t="shared" si="1"/>
        <v>0</v>
      </c>
      <c r="M25" s="16">
        <v>1</v>
      </c>
      <c r="N25" s="13">
        <v>500</v>
      </c>
      <c r="Q25" s="8"/>
      <c r="R25" s="8"/>
    </row>
    <row r="26" spans="1:18" x14ac:dyDescent="0.2">
      <c r="A26" s="19"/>
      <c r="B26" s="12"/>
      <c r="C26" s="12"/>
      <c r="D26" s="9"/>
      <c r="E26" s="17" t="str">
        <f t="shared" si="0"/>
        <v>0</v>
      </c>
      <c r="F26" s="16">
        <v>1</v>
      </c>
      <c r="G26" s="13">
        <v>500</v>
      </c>
      <c r="H26" s="4"/>
      <c r="I26" s="13"/>
      <c r="J26" s="13"/>
      <c r="K26" s="9"/>
      <c r="L26" s="17" t="str">
        <f t="shared" si="1"/>
        <v>0</v>
      </c>
      <c r="M26" s="16">
        <v>1</v>
      </c>
      <c r="N26" s="13">
        <v>500</v>
      </c>
      <c r="Q26" s="8"/>
      <c r="R26" s="8"/>
    </row>
    <row r="27" spans="1:18" x14ac:dyDescent="0.2">
      <c r="A27" s="19"/>
      <c r="B27" s="12"/>
      <c r="C27" s="12"/>
      <c r="D27" s="9"/>
      <c r="E27" s="17" t="str">
        <f t="shared" si="0"/>
        <v>0</v>
      </c>
      <c r="F27" s="16">
        <v>1</v>
      </c>
      <c r="G27" s="13">
        <v>500</v>
      </c>
      <c r="H27" s="4"/>
      <c r="I27" s="13"/>
      <c r="J27" s="13"/>
      <c r="K27" s="9"/>
      <c r="L27" s="17" t="str">
        <f t="shared" si="1"/>
        <v>0</v>
      </c>
      <c r="M27" s="16">
        <v>1</v>
      </c>
      <c r="N27" s="13">
        <v>500</v>
      </c>
      <c r="Q27" s="8"/>
      <c r="R27" s="8"/>
    </row>
    <row r="28" spans="1:18" x14ac:dyDescent="0.2">
      <c r="D28" s="9">
        <f>SUM(D2:D25)</f>
        <v>0</v>
      </c>
      <c r="F28" s="16">
        <f>SUM(F2:F25)</f>
        <v>24</v>
      </c>
      <c r="G28" s="5"/>
      <c r="H28" s="4"/>
      <c r="K28" s="9">
        <f>SUM(K2:K25)</f>
        <v>0</v>
      </c>
      <c r="M28" s="16">
        <f>SUM(M2:M25)</f>
        <v>24</v>
      </c>
      <c r="Q28" s="8"/>
      <c r="R28" s="8"/>
    </row>
    <row r="29" spans="1:18" x14ac:dyDescent="0.2">
      <c r="G29" s="5"/>
      <c r="H29" s="4"/>
      <c r="Q29" s="8"/>
      <c r="R29" s="8"/>
    </row>
    <row r="30" spans="1:18" x14ac:dyDescent="0.2">
      <c r="A30" t="s">
        <v>30</v>
      </c>
      <c r="B30" s="12"/>
      <c r="C30" t="s">
        <v>3</v>
      </c>
      <c r="D30" s="10">
        <f>SUM(K28,D28)</f>
        <v>0</v>
      </c>
      <c r="F30" s="16">
        <f>SUM(F28,M28)</f>
        <v>48</v>
      </c>
      <c r="G30" s="5"/>
      <c r="H30" s="4"/>
      <c r="R30" s="6"/>
    </row>
    <row r="31" spans="1:18" x14ac:dyDescent="0.2">
      <c r="A31" t="s">
        <v>31</v>
      </c>
      <c r="B31" s="12"/>
      <c r="C31" t="s">
        <v>2</v>
      </c>
      <c r="D31" s="10">
        <f>IFERROR((D30/F30),"")</f>
        <v>0</v>
      </c>
    </row>
    <row r="32" spans="1:18" x14ac:dyDescent="0.2">
      <c r="A32" t="s">
        <v>27</v>
      </c>
      <c r="B32" s="12"/>
      <c r="C32" t="s">
        <v>24</v>
      </c>
      <c r="D32" s="11" t="str">
        <f>IFERROR((B31-B30)/B30*100,"")</f>
        <v/>
      </c>
    </row>
    <row r="33" spans="1:13" x14ac:dyDescent="0.2">
      <c r="A33" t="s">
        <v>26</v>
      </c>
      <c r="B33" s="12"/>
      <c r="C33" t="s">
        <v>29</v>
      </c>
      <c r="D33" s="11" t="str">
        <f>IFERROR((B32-B33)/B32*100,"")</f>
        <v/>
      </c>
    </row>
    <row r="34" spans="1:13" x14ac:dyDescent="0.2">
      <c r="A34" t="s">
        <v>28</v>
      </c>
      <c r="B34" s="12"/>
      <c r="C34" t="s">
        <v>25</v>
      </c>
      <c r="D34" s="15"/>
    </row>
    <row r="35" spans="1:13" x14ac:dyDescent="0.2">
      <c r="C35" t="s">
        <v>0</v>
      </c>
      <c r="D35" s="14" t="str">
        <f>IFERROR((D34/D30)*100,"")</f>
        <v/>
      </c>
    </row>
    <row r="42" spans="1:13" x14ac:dyDescent="0.2">
      <c r="D42"/>
      <c r="E42"/>
      <c r="F42"/>
    </row>
    <row r="43" spans="1:13" x14ac:dyDescent="0.2">
      <c r="D43"/>
      <c r="E43"/>
      <c r="F43"/>
      <c r="K43"/>
      <c r="L43"/>
      <c r="M43"/>
    </row>
    <row r="44" spans="1:13" x14ac:dyDescent="0.2">
      <c r="D44"/>
      <c r="E44"/>
      <c r="F44"/>
      <c r="K44"/>
      <c r="L44"/>
      <c r="M44"/>
    </row>
    <row r="45" spans="1:13" x14ac:dyDescent="0.2">
      <c r="D45"/>
      <c r="E45"/>
      <c r="F45"/>
      <c r="H45" s="4"/>
      <c r="K45"/>
      <c r="L45"/>
      <c r="M45"/>
    </row>
    <row r="46" spans="1:13" x14ac:dyDescent="0.2">
      <c r="D46"/>
      <c r="E46"/>
      <c r="F46"/>
      <c r="K46"/>
      <c r="L46"/>
      <c r="M46"/>
    </row>
    <row r="47" spans="1:13" x14ac:dyDescent="0.2">
      <c r="D47"/>
      <c r="E47"/>
      <c r="F47"/>
      <c r="K47"/>
      <c r="L47"/>
      <c r="M47"/>
    </row>
    <row r="48" spans="1:13" x14ac:dyDescent="0.2">
      <c r="D48"/>
      <c r="E48"/>
      <c r="F48"/>
      <c r="K48"/>
      <c r="L48"/>
      <c r="M48"/>
    </row>
    <row r="49" spans="4:6" x14ac:dyDescent="0.2">
      <c r="D49"/>
      <c r="E49"/>
      <c r="F49"/>
    </row>
  </sheetData>
  <mergeCells count="4">
    <mergeCell ref="A2:A7"/>
    <mergeCell ref="A8:A14"/>
    <mergeCell ref="A15:A20"/>
    <mergeCell ref="A21:A2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7170" r:id="rId4" name="Run_CURVE">
          <controlPr defaultSize="0" autoFill="0" autoLine="0" autoPict="0" altText="Select File" r:id="rId5">
            <anchor moveWithCells="1" sizeWithCells="1">
              <from>
                <xdr:col>17</xdr:col>
                <xdr:colOff>9525</xdr:colOff>
                <xdr:row>3</xdr:row>
                <xdr:rowOff>76200</xdr:rowOff>
              </from>
              <to>
                <xdr:col>18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7170" r:id="rId4" name="Run_CURVE"/>
      </mc:Fallback>
    </mc:AlternateContent>
    <mc:AlternateContent xmlns:mc="http://schemas.openxmlformats.org/markup-compatibility/2006">
      <mc:Choice Requires="x14">
        <control shapeId="7169" r:id="rId6" name="Run_LADDER">
          <controlPr defaultSize="0" autoFill="0" autoLine="0" autoPict="0" altText="Select File" r:id="rId7">
            <anchor moveWithCells="1" sizeWithCells="1">
              <from>
                <xdr:col>17</xdr:col>
                <xdr:colOff>9525</xdr:colOff>
                <xdr:row>10</xdr:row>
                <xdr:rowOff>76200</xdr:rowOff>
              </from>
              <to>
                <xdr:col>18</xdr:col>
                <xdr:colOff>76200</xdr:colOff>
                <xdr:row>12</xdr:row>
                <xdr:rowOff>0</xdr:rowOff>
              </to>
            </anchor>
          </controlPr>
        </control>
      </mc:Choice>
      <mc:Fallback>
        <control shapeId="7169" r:id="rId6" name="Run_LADDE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D8845D-B5AF-4A20-8D8E-14C662355383}">
  <sheetPr codeName="Sheet2"/>
  <dimension ref="A1:R21"/>
  <sheetViews>
    <sheetView workbookViewId="0">
      <selection activeCell="C8" sqref="C8:C12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18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18" x14ac:dyDescent="0.2">
      <c r="A2" t="s">
        <v>15</v>
      </c>
      <c r="B2" s="12">
        <v>13987.64</v>
      </c>
      <c r="C2" s="12">
        <v>13987.64</v>
      </c>
      <c r="D2" s="9">
        <v>1000</v>
      </c>
      <c r="E2" s="17">
        <f>IFERROR((C2-B2)/B2*100,"0")</f>
        <v>0</v>
      </c>
      <c r="F2" s="16">
        <v>1</v>
      </c>
      <c r="G2" s="13">
        <v>1000</v>
      </c>
      <c r="H2" s="4"/>
      <c r="I2" s="12">
        <v>13987.64</v>
      </c>
      <c r="J2" s="12">
        <v>13119.43</v>
      </c>
      <c r="K2" s="9">
        <v>1620.6979876519549</v>
      </c>
      <c r="L2" s="17">
        <f>IFERROR((J2-I2)/I2*100,"0")</f>
        <v>-6.2069798765195499</v>
      </c>
      <c r="M2" s="16">
        <v>1.6206979876519549</v>
      </c>
      <c r="N2" s="13">
        <v>1000</v>
      </c>
    </row>
    <row r="3" spans="1:18" x14ac:dyDescent="0.2">
      <c r="A3" t="s">
        <v>14</v>
      </c>
      <c r="B3" s="12">
        <v>1</v>
      </c>
      <c r="C3" s="12">
        <v>1</v>
      </c>
      <c r="D3" s="9">
        <v>1000</v>
      </c>
      <c r="E3" s="17">
        <f t="shared" ref="E3:E13" si="0">IFERROR((C3-B3)/B3*100,"0")</f>
        <v>0</v>
      </c>
      <c r="F3" s="16">
        <v>1</v>
      </c>
      <c r="G3" s="13">
        <v>1000</v>
      </c>
      <c r="H3" s="4"/>
      <c r="I3" s="12">
        <v>1</v>
      </c>
      <c r="J3" s="12">
        <v>1</v>
      </c>
      <c r="K3" s="9">
        <v>1000</v>
      </c>
      <c r="L3" s="17">
        <f t="shared" ref="L3:L13" si="1">IFERROR((J3-I3)/I3*100,"0")</f>
        <v>0</v>
      </c>
      <c r="M3" s="16">
        <v>1</v>
      </c>
      <c r="N3" s="13">
        <v>1000</v>
      </c>
      <c r="Q3" s="7" t="s">
        <v>32</v>
      </c>
      <c r="R3" s="7"/>
    </row>
    <row r="4" spans="1:18" x14ac:dyDescent="0.2">
      <c r="A4" t="s">
        <v>13</v>
      </c>
      <c r="B4" s="12">
        <v>13987.64</v>
      </c>
      <c r="C4" s="12">
        <v>13588.83</v>
      </c>
      <c r="D4" s="9">
        <v>1285.116002413559</v>
      </c>
      <c r="E4" s="17">
        <f t="shared" si="0"/>
        <v>-2.8511600241355906</v>
      </c>
      <c r="F4" s="16">
        <v>1.2851160024135591</v>
      </c>
      <c r="G4" s="13">
        <v>1000</v>
      </c>
      <c r="H4" s="4"/>
      <c r="I4" s="12">
        <v>13987.64</v>
      </c>
      <c r="J4" s="12">
        <v>13319.86</v>
      </c>
      <c r="K4" s="9">
        <v>1477.4071966393178</v>
      </c>
      <c r="L4" s="17">
        <f t="shared" si="1"/>
        <v>-4.774071966393179</v>
      </c>
      <c r="M4" s="16">
        <v>1.4774071966393179</v>
      </c>
      <c r="N4" s="13">
        <v>1000</v>
      </c>
      <c r="Q4" s="7" t="s">
        <v>35</v>
      </c>
      <c r="R4" s="7" t="s">
        <v>37</v>
      </c>
    </row>
    <row r="5" spans="1:18" x14ac:dyDescent="0.2">
      <c r="A5" t="s">
        <v>12</v>
      </c>
      <c r="B5" s="12">
        <v>13987.64</v>
      </c>
      <c r="C5" s="12">
        <v>13246.87</v>
      </c>
      <c r="D5" s="9">
        <v>1529.5889799851861</v>
      </c>
      <c r="E5" s="17">
        <f t="shared" si="0"/>
        <v>-5.2958897998518601</v>
      </c>
      <c r="F5" s="16">
        <v>1.5295889799851861</v>
      </c>
      <c r="G5" s="13">
        <v>1000</v>
      </c>
      <c r="H5" s="4"/>
      <c r="I5" s="12">
        <v>13987.64</v>
      </c>
      <c r="J5" s="12">
        <v>13857.84</v>
      </c>
      <c r="K5" s="9">
        <v>1092.796211512449</v>
      </c>
      <c r="L5" s="17">
        <f t="shared" si="1"/>
        <v>-0.92796211512449034</v>
      </c>
      <c r="M5" s="16">
        <v>1.092796211512449</v>
      </c>
      <c r="N5" s="13">
        <v>1000</v>
      </c>
      <c r="Q5" s="7" t="s">
        <v>33</v>
      </c>
      <c r="R5" s="7" t="s">
        <v>36</v>
      </c>
    </row>
    <row r="6" spans="1:18" x14ac:dyDescent="0.2">
      <c r="A6" t="s">
        <v>11</v>
      </c>
      <c r="B6" s="12">
        <v>13987.64</v>
      </c>
      <c r="C6" s="12">
        <v>13582.42</v>
      </c>
      <c r="D6" s="9">
        <v>1289.6986196384805</v>
      </c>
      <c r="E6" s="17">
        <f t="shared" si="0"/>
        <v>-2.896986196384804</v>
      </c>
      <c r="F6" s="16">
        <v>1.2896986196384805</v>
      </c>
      <c r="G6" s="13">
        <v>1000</v>
      </c>
      <c r="H6" s="4"/>
      <c r="I6" s="12">
        <v>13987.64</v>
      </c>
      <c r="J6" s="12">
        <v>13303.64</v>
      </c>
      <c r="K6" s="9">
        <v>1489.0031484939561</v>
      </c>
      <c r="L6" s="17">
        <f t="shared" si="1"/>
        <v>-4.890031484939561</v>
      </c>
      <c r="M6" s="16">
        <v>1.4890031484939561</v>
      </c>
      <c r="N6" s="13">
        <v>1000</v>
      </c>
      <c r="Q6" s="7" t="s">
        <v>34</v>
      </c>
      <c r="R6" s="7">
        <v>0</v>
      </c>
    </row>
    <row r="7" spans="1:18" x14ac:dyDescent="0.2">
      <c r="A7" t="s">
        <v>10</v>
      </c>
      <c r="B7" s="12">
        <v>13987.64</v>
      </c>
      <c r="C7" s="12">
        <v>13736.48</v>
      </c>
      <c r="D7" s="9">
        <v>1179.5585245259385</v>
      </c>
      <c r="E7" s="17">
        <f t="shared" si="0"/>
        <v>-1.7955852452593852</v>
      </c>
      <c r="F7" s="16">
        <v>1.1795585245259386</v>
      </c>
      <c r="G7" s="13">
        <v>1000</v>
      </c>
      <c r="H7" s="4"/>
      <c r="I7" s="12">
        <v>13987.64</v>
      </c>
      <c r="J7" s="12">
        <v>14030.38</v>
      </c>
      <c r="K7" s="9">
        <v>969.4444523879655</v>
      </c>
      <c r="L7" s="17">
        <f t="shared" si="1"/>
        <v>0.30555547612034467</v>
      </c>
      <c r="M7" s="16">
        <v>0.96944445238796551</v>
      </c>
      <c r="N7" s="13">
        <v>1000</v>
      </c>
    </row>
    <row r="8" spans="1:18" x14ac:dyDescent="0.2">
      <c r="A8" t="s">
        <v>9</v>
      </c>
      <c r="B8" s="12">
        <v>13987.64</v>
      </c>
      <c r="C8" s="12">
        <v>14503.95</v>
      </c>
      <c r="D8" s="9">
        <v>630.88126374427623</v>
      </c>
      <c r="E8" s="17">
        <f t="shared" si="0"/>
        <v>3.6911873625572382</v>
      </c>
      <c r="F8" s="16">
        <v>0.63088126374427622</v>
      </c>
      <c r="G8" s="13">
        <v>1000</v>
      </c>
      <c r="H8" s="4"/>
      <c r="I8" s="12">
        <v>13987.64</v>
      </c>
      <c r="J8" s="12">
        <v>14644.95</v>
      </c>
      <c r="K8" s="9">
        <v>530.07798313367994</v>
      </c>
      <c r="L8" s="17">
        <f t="shared" si="1"/>
        <v>4.6992201686632002</v>
      </c>
      <c r="M8" s="16">
        <v>0.53007798313367993</v>
      </c>
      <c r="N8" s="13">
        <v>1000</v>
      </c>
    </row>
    <row r="9" spans="1:18" x14ac:dyDescent="0.2">
      <c r="A9" t="s">
        <v>8</v>
      </c>
      <c r="B9" s="12">
        <v>13987.64</v>
      </c>
      <c r="C9" s="12">
        <v>14780.53</v>
      </c>
      <c r="D9" s="9">
        <v>433.14955203307971</v>
      </c>
      <c r="E9" s="17">
        <f t="shared" si="0"/>
        <v>5.6685044796692026</v>
      </c>
      <c r="F9" s="16">
        <v>0.4331495520330797</v>
      </c>
      <c r="G9" s="13">
        <v>1000</v>
      </c>
      <c r="H9" s="4"/>
      <c r="I9" s="12">
        <v>13987.64</v>
      </c>
      <c r="J9" s="12">
        <v>14942.65</v>
      </c>
      <c r="K9" s="9">
        <v>317.24722683740771</v>
      </c>
      <c r="L9" s="17">
        <f t="shared" si="1"/>
        <v>6.8275277316259233</v>
      </c>
      <c r="M9" s="16">
        <v>0.31724722683740769</v>
      </c>
      <c r="N9" s="13">
        <v>1000</v>
      </c>
    </row>
    <row r="10" spans="1:18" x14ac:dyDescent="0.2">
      <c r="A10" t="s">
        <v>7</v>
      </c>
      <c r="B10" s="12">
        <v>13987.64</v>
      </c>
      <c r="C10" s="12">
        <v>15259.24</v>
      </c>
      <c r="D10" s="9">
        <v>90.911690606849788</v>
      </c>
      <c r="E10" s="17">
        <f t="shared" si="0"/>
        <v>9.0908830939315024</v>
      </c>
      <c r="F10" s="16">
        <v>9.0911690606849782E-2</v>
      </c>
      <c r="G10" s="13">
        <v>1000</v>
      </c>
      <c r="H10" s="4"/>
      <c r="I10" s="12">
        <v>13987.64</v>
      </c>
      <c r="J10" s="12">
        <v>15105.58</v>
      </c>
      <c r="K10" s="9">
        <v>200.76581896588664</v>
      </c>
      <c r="L10" s="17">
        <f t="shared" si="1"/>
        <v>7.9923418103411334</v>
      </c>
      <c r="M10" s="16">
        <v>0.20076581896588663</v>
      </c>
      <c r="N10" s="13">
        <v>1000</v>
      </c>
      <c r="Q10" s="8" t="s">
        <v>38</v>
      </c>
      <c r="R10" s="8"/>
    </row>
    <row r="11" spans="1:18" x14ac:dyDescent="0.2">
      <c r="A11" t="s">
        <v>6</v>
      </c>
      <c r="B11" s="12">
        <v>13987.64</v>
      </c>
      <c r="C11" s="12">
        <v>14823.43</v>
      </c>
      <c r="D11" s="9">
        <v>402.47961771964327</v>
      </c>
      <c r="E11" s="17">
        <f t="shared" si="0"/>
        <v>5.9752038228035671</v>
      </c>
      <c r="F11" s="16">
        <v>0.40247961771964325</v>
      </c>
      <c r="G11" s="13">
        <v>1000</v>
      </c>
      <c r="H11" s="4"/>
      <c r="I11" s="12">
        <v>13987.64</v>
      </c>
      <c r="J11" s="12">
        <v>14465.92</v>
      </c>
      <c r="K11" s="9">
        <v>658.06955283378693</v>
      </c>
      <c r="L11" s="17">
        <f t="shared" si="1"/>
        <v>3.4193044716621297</v>
      </c>
      <c r="M11" s="16">
        <v>0.65806955283378699</v>
      </c>
      <c r="N11" s="13">
        <v>1000</v>
      </c>
      <c r="Q11" s="8" t="s">
        <v>44</v>
      </c>
      <c r="R11" s="8" t="s">
        <v>46</v>
      </c>
    </row>
    <row r="12" spans="1:18" x14ac:dyDescent="0.2">
      <c r="A12" t="s">
        <v>5</v>
      </c>
      <c r="B12" s="12">
        <v>13987.64</v>
      </c>
      <c r="C12" s="12">
        <v>15498.39</v>
      </c>
      <c r="D12" s="9">
        <v>0</v>
      </c>
      <c r="E12" s="17">
        <f t="shared" si="0"/>
        <v>10.800606821450938</v>
      </c>
      <c r="F12" s="16">
        <v>0</v>
      </c>
      <c r="G12" s="13">
        <v>1000</v>
      </c>
      <c r="H12" s="4"/>
      <c r="I12" s="12">
        <v>13987.64</v>
      </c>
      <c r="J12" s="12">
        <v>15860.96</v>
      </c>
      <c r="K12" s="9">
        <v>1119.8687629217256</v>
      </c>
      <c r="L12" s="17">
        <f t="shared" si="1"/>
        <v>13.392680966910786</v>
      </c>
      <c r="M12" s="16">
        <v>0</v>
      </c>
      <c r="N12" s="13">
        <v>1000</v>
      </c>
      <c r="Q12" s="8" t="s">
        <v>42</v>
      </c>
      <c r="R12" s="8" t="s">
        <v>47</v>
      </c>
    </row>
    <row r="13" spans="1:18" x14ac:dyDescent="0.2">
      <c r="A13" t="s">
        <v>4</v>
      </c>
      <c r="B13" s="12">
        <v>13987.64</v>
      </c>
      <c r="C13" s="12">
        <v>15782.83</v>
      </c>
      <c r="D13" s="9">
        <v>0</v>
      </c>
      <c r="E13" s="17">
        <f t="shared" si="0"/>
        <v>12.834116405626686</v>
      </c>
      <c r="F13" s="16">
        <v>0</v>
      </c>
      <c r="G13" s="13">
        <v>1000</v>
      </c>
      <c r="H13" s="4"/>
      <c r="I13" s="12">
        <v>13987.64</v>
      </c>
      <c r="J13" s="12">
        <v>15517.37</v>
      </c>
      <c r="K13" s="9">
        <v>1428.6023576028706</v>
      </c>
      <c r="L13" s="17">
        <f t="shared" si="1"/>
        <v>10.936298045989183</v>
      </c>
      <c r="M13" s="16">
        <v>0</v>
      </c>
      <c r="N13" s="13">
        <v>1000</v>
      </c>
      <c r="Q13" s="8" t="s">
        <v>41</v>
      </c>
      <c r="R13" s="8" t="s">
        <v>48</v>
      </c>
    </row>
    <row r="14" spans="1:18" x14ac:dyDescent="0.2">
      <c r="D14" s="9">
        <f>SUM(D2:D13)</f>
        <v>8841.3842506670153</v>
      </c>
      <c r="F14" s="16">
        <f>SUM(F2:F13)</f>
        <v>8.8413842506670139</v>
      </c>
      <c r="G14" s="5"/>
      <c r="H14" s="4"/>
      <c r="K14" s="9">
        <f>SUM(K2:K13)</f>
        <v>11903.980698981002</v>
      </c>
      <c r="M14" s="16">
        <f>SUM(M2:M13)</f>
        <v>9.3555095784564042</v>
      </c>
      <c r="Q14" s="8" t="s">
        <v>39</v>
      </c>
      <c r="R14" s="8" t="s">
        <v>45</v>
      </c>
    </row>
    <row r="15" spans="1:18" x14ac:dyDescent="0.2">
      <c r="G15" s="5"/>
      <c r="H15" s="4"/>
      <c r="Q15" s="8" t="s">
        <v>40</v>
      </c>
      <c r="R15" s="8" t="s">
        <v>43</v>
      </c>
    </row>
    <row r="16" spans="1:18" x14ac:dyDescent="0.2">
      <c r="A16" t="s">
        <v>30</v>
      </c>
      <c r="B16" s="12"/>
      <c r="C16" t="s">
        <v>3</v>
      </c>
      <c r="D16" s="10">
        <f>SUM(K14,D14)</f>
        <v>20745.364949648018</v>
      </c>
      <c r="F16" s="16">
        <f>SUM(F14,M14)</f>
        <v>18.196893829123418</v>
      </c>
      <c r="G16" s="5"/>
      <c r="H16" s="4"/>
      <c r="R16" s="6"/>
    </row>
    <row r="17" spans="1:4" x14ac:dyDescent="0.2">
      <c r="A17" t="s">
        <v>31</v>
      </c>
      <c r="B17" s="12"/>
      <c r="C17" t="s">
        <v>2</v>
      </c>
      <c r="D17" s="10">
        <f>IFERROR((D16/F16),"")</f>
        <v>1140.0497878624687</v>
      </c>
    </row>
    <row r="18" spans="1:4" x14ac:dyDescent="0.2">
      <c r="A18" t="s">
        <v>27</v>
      </c>
      <c r="B18" s="12"/>
      <c r="C18" t="s">
        <v>24</v>
      </c>
      <c r="D18" s="11" t="str">
        <f>IFERROR((B17-B16)/B16*100,"")</f>
        <v/>
      </c>
    </row>
    <row r="19" spans="1:4" x14ac:dyDescent="0.2">
      <c r="A19" t="s">
        <v>26</v>
      </c>
      <c r="B19" s="12"/>
      <c r="C19" t="s">
        <v>29</v>
      </c>
      <c r="D19" s="11" t="str">
        <f>IFERROR((B18-B19)/B18*100,"")</f>
        <v/>
      </c>
    </row>
    <row r="20" spans="1:4" x14ac:dyDescent="0.2">
      <c r="A20" t="s">
        <v>28</v>
      </c>
      <c r="B20" s="12"/>
      <c r="C20" t="s">
        <v>25</v>
      </c>
      <c r="D20" s="15"/>
    </row>
    <row r="21" spans="1:4" x14ac:dyDescent="0.2">
      <c r="C21" t="s">
        <v>0</v>
      </c>
      <c r="D21" s="14">
        <f>IFERROR((D20/D16)*100,"")</f>
        <v>0</v>
      </c>
    </row>
  </sheetData>
  <phoneticPr fontId="2" type="noConversion"/>
  <pageMargins left="0.7" right="0.7" top="0.75" bottom="0.75" header="0.3" footer="0.3"/>
  <pageSetup paperSize="9" orientation="portrait" horizontalDpi="0" verticalDpi="0" r:id="rId1"/>
  <drawing r:id="rId2"/>
  <legacyDrawing r:id="rId3"/>
  <controls>
    <mc:AlternateContent xmlns:mc="http://schemas.openxmlformats.org/markup-compatibility/2006">
      <mc:Choice Requires="x14">
        <control shapeId="5129" r:id="rId4" name="Run_LADDER">
          <controlPr defaultSize="0" autoFill="0" autoLine="0" altText="Select File" r:id="rId5">
            <anchor moveWithCells="1" sizeWithCells="1">
              <from>
                <xdr:col>16</xdr:col>
                <xdr:colOff>657225</xdr:colOff>
                <xdr:row>8</xdr:row>
                <xdr:rowOff>38100</xdr:rowOff>
              </from>
              <to>
                <xdr:col>18</xdr:col>
                <xdr:colOff>66675</xdr:colOff>
                <xdr:row>10</xdr:row>
                <xdr:rowOff>9525</xdr:rowOff>
              </to>
            </anchor>
          </controlPr>
        </control>
      </mc:Choice>
      <mc:Fallback>
        <control shapeId="5129" r:id="rId4" name="Run_LADDER"/>
      </mc:Fallback>
    </mc:AlternateContent>
    <mc:AlternateContent xmlns:mc="http://schemas.openxmlformats.org/markup-compatibility/2006">
      <mc:Choice Requires="x14">
        <control shapeId="5130" r:id="rId6" name="Run_CURVE">
          <controlPr defaultSize="0" autoFill="0" autoLine="0" altText="Select File" r:id="rId7">
            <anchor moveWithCells="1" sizeWithCells="1">
              <from>
                <xdr:col>17</xdr:col>
                <xdr:colOff>9525</xdr:colOff>
                <xdr:row>1</xdr:row>
                <xdr:rowOff>28575</xdr:rowOff>
              </from>
              <to>
                <xdr:col>18</xdr:col>
                <xdr:colOff>85725</xdr:colOff>
                <xdr:row>3</xdr:row>
                <xdr:rowOff>0</xdr:rowOff>
              </to>
            </anchor>
          </controlPr>
        </control>
      </mc:Choice>
      <mc:Fallback>
        <control shapeId="5130" r:id="rId6" name="Run_CURV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2EE21F-5491-492B-99A1-B7CD4B62FE95}">
  <sheetPr codeName="Sheet4"/>
  <dimension ref="A1:T49"/>
  <sheetViews>
    <sheetView tabSelected="1" workbookViewId="0">
      <selection activeCell="K20" sqref="K20"/>
    </sheetView>
  </sheetViews>
  <sheetFormatPr defaultRowHeight="14.25" x14ac:dyDescent="0.2"/>
  <cols>
    <col min="2" max="3" width="12.375" customWidth="1"/>
    <col min="4" max="4" width="9.375" style="2" customWidth="1"/>
    <col min="5" max="5" width="16.375" style="1" customWidth="1"/>
    <col min="6" max="6" width="9" style="1"/>
    <col min="7" max="7" width="9.375" bestFit="1" customWidth="1"/>
    <col min="8" max="8" width="9.375" style="3" customWidth="1"/>
    <col min="9" max="10" width="12.375" customWidth="1"/>
    <col min="11" max="11" width="9.375" style="2" customWidth="1"/>
    <col min="12" max="12" width="16.375" style="1" customWidth="1"/>
    <col min="13" max="13" width="9" style="1" customWidth="1"/>
  </cols>
  <sheetData>
    <row r="1" spans="1:20" x14ac:dyDescent="0.2">
      <c r="B1" t="s">
        <v>20</v>
      </c>
      <c r="C1" t="s">
        <v>23</v>
      </c>
      <c r="D1" s="2" t="s">
        <v>18</v>
      </c>
      <c r="E1" s="1" t="s">
        <v>22</v>
      </c>
      <c r="F1" s="1" t="s">
        <v>21</v>
      </c>
      <c r="G1" t="s">
        <v>16</v>
      </c>
      <c r="I1" t="s">
        <v>20</v>
      </c>
      <c r="J1" t="s">
        <v>19</v>
      </c>
      <c r="K1" s="2" t="s">
        <v>18</v>
      </c>
      <c r="L1" s="1" t="s">
        <v>1</v>
      </c>
      <c r="M1" s="1" t="s">
        <v>17</v>
      </c>
      <c r="N1" t="s">
        <v>16</v>
      </c>
    </row>
    <row r="2" spans="1:20" x14ac:dyDescent="0.2">
      <c r="A2" s="18" t="s">
        <v>50</v>
      </c>
      <c r="B2" s="12">
        <v>13987.64</v>
      </c>
      <c r="C2" s="12">
        <v>13588.83</v>
      </c>
      <c r="D2" s="9">
        <v>1285.116002413559</v>
      </c>
      <c r="E2" s="17">
        <f>IFERROR((C2-B2)/B2*100,"0")</f>
        <v>-2.8511600241355906</v>
      </c>
      <c r="F2" s="16">
        <v>1.2851160024135591</v>
      </c>
      <c r="G2" s="13">
        <v>1000</v>
      </c>
      <c r="H2" s="4"/>
      <c r="I2" s="12">
        <v>13987.64</v>
      </c>
      <c r="J2" s="12">
        <v>13588.83</v>
      </c>
      <c r="K2" s="9">
        <v>1285.116002413559</v>
      </c>
      <c r="L2" s="17">
        <f>IFERROR((J2-I2)/I2*100,"0")</f>
        <v>-2.8511600241355906</v>
      </c>
      <c r="M2" s="16">
        <v>1.2851160024135591</v>
      </c>
      <c r="N2" s="13">
        <v>1000</v>
      </c>
    </row>
    <row r="3" spans="1:20" x14ac:dyDescent="0.2">
      <c r="A3" s="18"/>
      <c r="B3" s="12">
        <v>13987.64</v>
      </c>
      <c r="C3" s="12">
        <v>13246.87</v>
      </c>
      <c r="D3" s="9">
        <v>1529.5889799851861</v>
      </c>
      <c r="E3" s="17">
        <f t="shared" ref="E3:E27" si="0">IFERROR((C3-B3)/B3*100,"0")</f>
        <v>-5.2958897998518601</v>
      </c>
      <c r="F3" s="16">
        <v>1.5295889799851861</v>
      </c>
      <c r="G3" s="13">
        <v>1000</v>
      </c>
      <c r="H3" s="4"/>
      <c r="I3" s="12">
        <v>13987.64</v>
      </c>
      <c r="J3" s="12">
        <v>13246.87</v>
      </c>
      <c r="K3" s="9">
        <v>1529.5889799851861</v>
      </c>
      <c r="L3" s="17">
        <f t="shared" ref="L3:L27" si="1">IFERROR((J3-I3)/I3*100,"0")</f>
        <v>-5.2958897998518601</v>
      </c>
      <c r="M3" s="16">
        <v>1.5295889799851861</v>
      </c>
      <c r="N3" s="13">
        <v>1000</v>
      </c>
      <c r="P3" s="8"/>
      <c r="Q3" s="8"/>
      <c r="R3" s="8"/>
      <c r="S3" s="8"/>
      <c r="T3" s="8"/>
    </row>
    <row r="4" spans="1:20" x14ac:dyDescent="0.2">
      <c r="A4" s="18"/>
      <c r="B4" s="12">
        <v>13987.64</v>
      </c>
      <c r="C4" s="12">
        <v>13582.42</v>
      </c>
      <c r="D4" s="9">
        <v>1289.6986196384805</v>
      </c>
      <c r="E4" s="17">
        <f t="shared" si="0"/>
        <v>-2.896986196384804</v>
      </c>
      <c r="F4" s="16">
        <v>1.2896986196384805</v>
      </c>
      <c r="G4" s="13">
        <v>1000</v>
      </c>
      <c r="H4" s="4"/>
      <c r="I4" s="12">
        <v>13987.64</v>
      </c>
      <c r="J4" s="12">
        <v>13582.42</v>
      </c>
      <c r="K4" s="9">
        <v>1289.6986196384805</v>
      </c>
      <c r="L4" s="17">
        <f t="shared" si="1"/>
        <v>-2.896986196384804</v>
      </c>
      <c r="M4" s="16">
        <v>1.2896986196384805</v>
      </c>
      <c r="N4" s="13">
        <v>1000</v>
      </c>
      <c r="P4" s="8"/>
      <c r="Q4" s="8"/>
      <c r="R4" s="8"/>
      <c r="S4" s="8"/>
      <c r="T4" s="8"/>
    </row>
    <row r="5" spans="1:20" x14ac:dyDescent="0.2">
      <c r="A5" s="18"/>
      <c r="B5" s="12">
        <v>13987.64</v>
      </c>
      <c r="C5" s="12">
        <v>13736.48</v>
      </c>
      <c r="D5" s="9">
        <v>1179.5585245259385</v>
      </c>
      <c r="E5" s="17">
        <f t="shared" si="0"/>
        <v>-1.7955852452593852</v>
      </c>
      <c r="F5" s="16">
        <v>1.1795585245259386</v>
      </c>
      <c r="G5" s="13">
        <v>1000</v>
      </c>
      <c r="H5" s="4"/>
      <c r="I5" s="12">
        <v>13987.64</v>
      </c>
      <c r="J5" s="12">
        <v>13736.48</v>
      </c>
      <c r="K5" s="9">
        <v>1179.5585245259385</v>
      </c>
      <c r="L5" s="17">
        <f t="shared" si="1"/>
        <v>-1.7955852452593852</v>
      </c>
      <c r="M5" s="16">
        <v>1.1795585245259386</v>
      </c>
      <c r="N5" s="13">
        <v>1000</v>
      </c>
      <c r="P5" s="8"/>
      <c r="Q5" s="7" t="s">
        <v>32</v>
      </c>
      <c r="R5" s="7"/>
      <c r="S5" s="8"/>
      <c r="T5" s="8"/>
    </row>
    <row r="6" spans="1:20" x14ac:dyDescent="0.2">
      <c r="A6" s="18"/>
      <c r="B6" s="12">
        <v>13987.64</v>
      </c>
      <c r="C6" s="12">
        <v>14503.95</v>
      </c>
      <c r="D6" s="9">
        <v>630.88126374427623</v>
      </c>
      <c r="E6" s="17">
        <f t="shared" si="0"/>
        <v>3.6911873625572382</v>
      </c>
      <c r="F6" s="16">
        <v>0.63088126374427622</v>
      </c>
      <c r="G6" s="13">
        <v>1000</v>
      </c>
      <c r="H6" s="4"/>
      <c r="I6" s="12">
        <v>13987.64</v>
      </c>
      <c r="J6" s="12">
        <v>14503.95</v>
      </c>
      <c r="K6" s="9">
        <v>630.88126374427623</v>
      </c>
      <c r="L6" s="17">
        <f t="shared" si="1"/>
        <v>3.6911873625572382</v>
      </c>
      <c r="M6" s="16">
        <v>0.63088126374427622</v>
      </c>
      <c r="N6" s="13">
        <v>1000</v>
      </c>
      <c r="P6" s="8"/>
      <c r="Q6" s="7" t="s">
        <v>35</v>
      </c>
      <c r="R6" s="7" t="s">
        <v>53</v>
      </c>
      <c r="S6" s="8"/>
      <c r="T6" s="8"/>
    </row>
    <row r="7" spans="1:20" x14ac:dyDescent="0.2">
      <c r="A7" s="18"/>
      <c r="B7" s="12">
        <v>13987.64</v>
      </c>
      <c r="C7" s="12">
        <v>14780.53</v>
      </c>
      <c r="D7" s="9">
        <v>433.14955203307971</v>
      </c>
      <c r="E7" s="17">
        <f t="shared" si="0"/>
        <v>5.6685044796692026</v>
      </c>
      <c r="F7" s="16">
        <v>0.4331495520330797</v>
      </c>
      <c r="G7" s="13">
        <v>1000</v>
      </c>
      <c r="H7" s="4"/>
      <c r="I7" s="12">
        <v>13987.64</v>
      </c>
      <c r="J7" s="12">
        <v>14780.53</v>
      </c>
      <c r="K7" s="9">
        <v>433.14955203307971</v>
      </c>
      <c r="L7" s="17">
        <f t="shared" si="1"/>
        <v>5.6685044796692026</v>
      </c>
      <c r="M7" s="16">
        <v>0.4331495520330797</v>
      </c>
      <c r="N7" s="13">
        <v>1000</v>
      </c>
      <c r="P7" s="8"/>
      <c r="Q7" s="7" t="s">
        <v>33</v>
      </c>
      <c r="R7" s="7" t="s">
        <v>36</v>
      </c>
      <c r="S7" s="8"/>
      <c r="T7" s="8"/>
    </row>
    <row r="8" spans="1:20" x14ac:dyDescent="0.2">
      <c r="A8" s="18" t="s">
        <v>49</v>
      </c>
      <c r="B8" s="12">
        <v>13987.64</v>
      </c>
      <c r="C8" s="12">
        <v>15259.24</v>
      </c>
      <c r="D8" s="9">
        <v>90.911690606849788</v>
      </c>
      <c r="E8" s="17">
        <f t="shared" si="0"/>
        <v>9.0908830939315024</v>
      </c>
      <c r="F8" s="16">
        <v>9.0911690606849782E-2</v>
      </c>
      <c r="G8" s="13">
        <v>1000</v>
      </c>
      <c r="H8" s="4"/>
      <c r="I8" s="12">
        <v>13987.64</v>
      </c>
      <c r="J8" s="12">
        <v>15259.24</v>
      </c>
      <c r="K8" s="9">
        <v>90.911690606849788</v>
      </c>
      <c r="L8" s="17">
        <f t="shared" si="1"/>
        <v>9.0908830939315024</v>
      </c>
      <c r="M8" s="16">
        <v>9.0911690606849782E-2</v>
      </c>
      <c r="N8" s="13">
        <v>1000</v>
      </c>
      <c r="P8" s="8"/>
      <c r="Q8" s="7" t="s">
        <v>34</v>
      </c>
      <c r="R8" s="7">
        <v>0</v>
      </c>
      <c r="S8" s="8"/>
      <c r="T8" s="8"/>
    </row>
    <row r="9" spans="1:20" x14ac:dyDescent="0.2">
      <c r="A9" s="18"/>
      <c r="B9" s="12">
        <v>13987.64</v>
      </c>
      <c r="C9" s="12">
        <v>14823.43</v>
      </c>
      <c r="D9" s="9">
        <v>402.47961771964327</v>
      </c>
      <c r="E9" s="17">
        <f t="shared" si="0"/>
        <v>5.9752038228035671</v>
      </c>
      <c r="F9" s="16">
        <v>0.40247961771964325</v>
      </c>
      <c r="G9" s="13">
        <v>1000</v>
      </c>
      <c r="H9" s="4"/>
      <c r="I9" s="12">
        <v>13987.64</v>
      </c>
      <c r="J9" s="12">
        <v>14823.43</v>
      </c>
      <c r="K9" s="9">
        <v>402.47961771964327</v>
      </c>
      <c r="L9" s="17">
        <f t="shared" si="1"/>
        <v>5.9752038228035671</v>
      </c>
      <c r="M9" s="16">
        <v>0.40247961771964325</v>
      </c>
      <c r="N9" s="13">
        <v>1000</v>
      </c>
      <c r="P9" s="8"/>
      <c r="Q9" s="8"/>
      <c r="R9" s="8"/>
      <c r="S9" s="8"/>
      <c r="T9" s="8"/>
    </row>
    <row r="10" spans="1:20" x14ac:dyDescent="0.2">
      <c r="A10" s="18"/>
      <c r="B10" s="12">
        <v>13987.64</v>
      </c>
      <c r="C10" s="12">
        <v>15498.39</v>
      </c>
      <c r="D10" s="9">
        <v>0</v>
      </c>
      <c r="E10" s="17">
        <f t="shared" si="0"/>
        <v>10.800606821450938</v>
      </c>
      <c r="F10" s="16">
        <v>0</v>
      </c>
      <c r="G10" s="13">
        <v>1000</v>
      </c>
      <c r="H10" s="4"/>
      <c r="I10" s="12">
        <v>13987.64</v>
      </c>
      <c r="J10" s="12">
        <v>15498.39</v>
      </c>
      <c r="K10" s="9">
        <v>0</v>
      </c>
      <c r="L10" s="17">
        <f t="shared" si="1"/>
        <v>10.800606821450938</v>
      </c>
      <c r="M10" s="16">
        <v>0</v>
      </c>
      <c r="N10" s="13">
        <v>1000</v>
      </c>
      <c r="P10" s="8"/>
      <c r="Q10" s="8"/>
      <c r="R10" s="8"/>
      <c r="S10" s="8"/>
      <c r="T10" s="8"/>
    </row>
    <row r="11" spans="1:20" x14ac:dyDescent="0.2">
      <c r="A11" s="18"/>
      <c r="B11" s="12">
        <v>13987.64</v>
      </c>
      <c r="C11" s="12">
        <v>15782.83</v>
      </c>
      <c r="D11" s="9">
        <v>0</v>
      </c>
      <c r="E11" s="17">
        <f t="shared" si="0"/>
        <v>12.834116405626686</v>
      </c>
      <c r="F11" s="16">
        <v>0</v>
      </c>
      <c r="G11" s="13">
        <v>1000</v>
      </c>
      <c r="H11" s="4"/>
      <c r="I11" s="12">
        <v>13987.64</v>
      </c>
      <c r="J11" s="12">
        <v>15782.83</v>
      </c>
      <c r="K11" s="9">
        <v>0</v>
      </c>
      <c r="L11" s="17">
        <f t="shared" si="1"/>
        <v>12.834116405626686</v>
      </c>
      <c r="M11" s="16">
        <v>0</v>
      </c>
      <c r="N11" s="13">
        <v>1000</v>
      </c>
      <c r="Q11" s="20"/>
      <c r="R11" s="20"/>
    </row>
    <row r="12" spans="1:20" x14ac:dyDescent="0.2">
      <c r="A12" s="18"/>
      <c r="B12" s="12">
        <v>13987.64</v>
      </c>
      <c r="C12" s="12">
        <v>13588.83</v>
      </c>
      <c r="D12" s="9">
        <v>1285.116002413559</v>
      </c>
      <c r="E12" s="17">
        <f t="shared" si="0"/>
        <v>-2.8511600241355906</v>
      </c>
      <c r="F12" s="16">
        <v>1.2851160024135591</v>
      </c>
      <c r="G12" s="13">
        <v>1000</v>
      </c>
      <c r="H12" s="4"/>
      <c r="I12" s="12">
        <v>13987.64</v>
      </c>
      <c r="J12" s="12">
        <v>13588.83</v>
      </c>
      <c r="K12" s="9">
        <v>1285.116002413559</v>
      </c>
      <c r="L12" s="17">
        <f t="shared" si="1"/>
        <v>-2.8511600241355906</v>
      </c>
      <c r="M12" s="16">
        <v>1.2851160024135591</v>
      </c>
      <c r="N12" s="13">
        <v>1000</v>
      </c>
      <c r="Q12" s="8" t="s">
        <v>38</v>
      </c>
      <c r="R12" s="8"/>
    </row>
    <row r="13" spans="1:20" x14ac:dyDescent="0.2">
      <c r="A13" s="18"/>
      <c r="B13" s="12">
        <v>13987.64</v>
      </c>
      <c r="C13" s="12">
        <v>13246.87</v>
      </c>
      <c r="D13" s="9">
        <v>1529.5889799851861</v>
      </c>
      <c r="E13" s="17">
        <f t="shared" si="0"/>
        <v>-5.2958897998518601</v>
      </c>
      <c r="F13" s="16">
        <v>1.5295889799851861</v>
      </c>
      <c r="G13" s="13">
        <v>1000</v>
      </c>
      <c r="H13" s="4"/>
      <c r="I13" s="12">
        <v>13987.64</v>
      </c>
      <c r="J13" s="12">
        <v>13246.87</v>
      </c>
      <c r="K13" s="9">
        <v>1529.5889799851861</v>
      </c>
      <c r="L13" s="17">
        <f t="shared" si="1"/>
        <v>-5.2958897998518601</v>
      </c>
      <c r="M13" s="16">
        <v>1.5295889799851861</v>
      </c>
      <c r="N13" s="13">
        <v>1000</v>
      </c>
      <c r="Q13" s="8" t="s">
        <v>44</v>
      </c>
      <c r="R13" s="8" t="s">
        <v>46</v>
      </c>
    </row>
    <row r="14" spans="1:20" x14ac:dyDescent="0.2">
      <c r="A14" s="18"/>
      <c r="B14" s="12">
        <v>13987.64</v>
      </c>
      <c r="C14" s="12">
        <v>13582.42</v>
      </c>
      <c r="D14" s="9">
        <v>1289.6986196384805</v>
      </c>
      <c r="E14" s="17">
        <f t="shared" si="0"/>
        <v>-2.896986196384804</v>
      </c>
      <c r="F14" s="16">
        <v>1.2896986196384805</v>
      </c>
      <c r="G14" s="13">
        <v>1000</v>
      </c>
      <c r="H14" s="4"/>
      <c r="I14" s="12">
        <v>13987.64</v>
      </c>
      <c r="J14" s="12">
        <v>13582.42</v>
      </c>
      <c r="K14" s="9">
        <v>1289.6986196384805</v>
      </c>
      <c r="L14" s="17">
        <f t="shared" si="1"/>
        <v>-2.896986196384804</v>
      </c>
      <c r="M14" s="16">
        <v>1.2896986196384805</v>
      </c>
      <c r="N14" s="13">
        <v>1000</v>
      </c>
      <c r="Q14" s="8" t="s">
        <v>42</v>
      </c>
      <c r="R14" s="8" t="s">
        <v>47</v>
      </c>
    </row>
    <row r="15" spans="1:20" x14ac:dyDescent="0.2">
      <c r="A15" s="18" t="s">
        <v>51</v>
      </c>
      <c r="B15" s="12">
        <v>13987.64</v>
      </c>
      <c r="C15" s="12">
        <v>13736.48</v>
      </c>
      <c r="D15" s="9">
        <v>1179.5585245259385</v>
      </c>
      <c r="E15" s="17">
        <f t="shared" si="0"/>
        <v>-1.7955852452593852</v>
      </c>
      <c r="F15" s="16">
        <v>1.1795585245259386</v>
      </c>
      <c r="G15" s="13">
        <v>1000</v>
      </c>
      <c r="H15" s="4"/>
      <c r="I15" s="12">
        <v>13987.64</v>
      </c>
      <c r="J15" s="12">
        <v>13736.48</v>
      </c>
      <c r="K15" s="9">
        <v>1179.5585245259385</v>
      </c>
      <c r="L15" s="17">
        <f t="shared" si="1"/>
        <v>-1.7955852452593852</v>
      </c>
      <c r="M15" s="16">
        <v>1.1795585245259386</v>
      </c>
      <c r="N15" s="13">
        <v>1000</v>
      </c>
      <c r="Q15" s="8" t="s">
        <v>41</v>
      </c>
      <c r="R15" s="8" t="s">
        <v>48</v>
      </c>
    </row>
    <row r="16" spans="1:20" x14ac:dyDescent="0.2">
      <c r="A16" s="18"/>
      <c r="B16" s="12">
        <v>13987.64</v>
      </c>
      <c r="C16" s="12">
        <v>14503.95</v>
      </c>
      <c r="D16" s="9">
        <v>630.88126374427623</v>
      </c>
      <c r="E16" s="17">
        <f t="shared" si="0"/>
        <v>3.6911873625572382</v>
      </c>
      <c r="F16" s="16">
        <v>0.63088126374427622</v>
      </c>
      <c r="G16" s="13">
        <v>1000</v>
      </c>
      <c r="H16" s="4"/>
      <c r="I16" s="12">
        <v>13987.64</v>
      </c>
      <c r="J16" s="12">
        <v>14503.95</v>
      </c>
      <c r="K16" s="9">
        <v>630.88126374427623</v>
      </c>
      <c r="L16" s="17">
        <f t="shared" si="1"/>
        <v>3.6911873625572382</v>
      </c>
      <c r="M16" s="16">
        <v>0.63088126374427622</v>
      </c>
      <c r="N16" s="13">
        <v>1000</v>
      </c>
      <c r="Q16" s="8" t="s">
        <v>39</v>
      </c>
      <c r="R16" s="8" t="s">
        <v>45</v>
      </c>
    </row>
    <row r="17" spans="1:18" x14ac:dyDescent="0.2">
      <c r="A17" s="18"/>
      <c r="B17" s="12">
        <v>13987.64</v>
      </c>
      <c r="C17" s="12">
        <v>14780.53</v>
      </c>
      <c r="D17" s="9">
        <v>433.14955203307971</v>
      </c>
      <c r="E17" s="17">
        <f t="shared" si="0"/>
        <v>5.6685044796692026</v>
      </c>
      <c r="F17" s="16">
        <v>0.4331495520330797</v>
      </c>
      <c r="G17" s="13">
        <v>1000</v>
      </c>
      <c r="H17" s="4"/>
      <c r="I17" s="12">
        <v>13987.64</v>
      </c>
      <c r="J17" s="12">
        <v>14780.53</v>
      </c>
      <c r="K17" s="9">
        <v>433.14955203307971</v>
      </c>
      <c r="L17" s="17">
        <f t="shared" si="1"/>
        <v>5.6685044796692026</v>
      </c>
      <c r="M17" s="16">
        <v>0.4331495520330797</v>
      </c>
      <c r="N17" s="13">
        <v>1000</v>
      </c>
      <c r="Q17" s="8" t="s">
        <v>40</v>
      </c>
      <c r="R17" s="8" t="s">
        <v>43</v>
      </c>
    </row>
    <row r="18" spans="1:18" x14ac:dyDescent="0.2">
      <c r="A18" s="18"/>
      <c r="B18" s="12">
        <v>13987.64</v>
      </c>
      <c r="C18" s="12">
        <v>15259.24</v>
      </c>
      <c r="D18" s="9">
        <v>90.911690606849788</v>
      </c>
      <c r="E18" s="17">
        <f t="shared" si="0"/>
        <v>9.0908830939315024</v>
      </c>
      <c r="F18" s="16">
        <v>9.0911690606849782E-2</v>
      </c>
      <c r="G18" s="13">
        <v>1000</v>
      </c>
      <c r="H18" s="4"/>
      <c r="I18" s="12">
        <v>13987.64</v>
      </c>
      <c r="J18" s="12">
        <v>15259.24</v>
      </c>
      <c r="K18" s="9">
        <v>90.911690606849788</v>
      </c>
      <c r="L18" s="17">
        <f t="shared" si="1"/>
        <v>9.0908830939315024</v>
      </c>
      <c r="M18" s="16">
        <v>9.0911690606849782E-2</v>
      </c>
      <c r="N18" s="13">
        <v>1000</v>
      </c>
    </row>
    <row r="19" spans="1:18" x14ac:dyDescent="0.2">
      <c r="A19" s="18"/>
      <c r="B19" s="12">
        <v>13987.64</v>
      </c>
      <c r="C19" s="12">
        <v>14823.43</v>
      </c>
      <c r="D19" s="9">
        <v>402.47961771964327</v>
      </c>
      <c r="E19" s="17">
        <f t="shared" si="0"/>
        <v>5.9752038228035671</v>
      </c>
      <c r="F19" s="16">
        <v>0.40247961771964325</v>
      </c>
      <c r="G19" s="13">
        <v>1000</v>
      </c>
      <c r="H19" s="4"/>
      <c r="I19" s="12">
        <v>13987.64</v>
      </c>
      <c r="J19" s="12">
        <v>14823.43</v>
      </c>
      <c r="K19" s="9">
        <v>402.47961771964327</v>
      </c>
      <c r="L19" s="17">
        <f t="shared" si="1"/>
        <v>5.9752038228035671</v>
      </c>
      <c r="M19" s="16">
        <v>0.40247961771964325</v>
      </c>
      <c r="N19" s="13">
        <v>1000</v>
      </c>
      <c r="Q19" s="8"/>
      <c r="R19" s="8"/>
    </row>
    <row r="20" spans="1:18" x14ac:dyDescent="0.2">
      <c r="A20" s="18"/>
      <c r="B20" s="12">
        <v>13987.64</v>
      </c>
      <c r="C20" s="12">
        <v>15498.39</v>
      </c>
      <c r="D20" s="9">
        <v>0</v>
      </c>
      <c r="E20" s="17">
        <f t="shared" si="0"/>
        <v>10.800606821450938</v>
      </c>
      <c r="F20" s="16">
        <v>0</v>
      </c>
      <c r="G20" s="13">
        <v>1000</v>
      </c>
      <c r="H20" s="4"/>
      <c r="I20" s="12">
        <v>13987.64</v>
      </c>
      <c r="J20" s="12">
        <v>15498.39</v>
      </c>
      <c r="K20" s="9">
        <v>0</v>
      </c>
      <c r="L20" s="17">
        <f t="shared" si="1"/>
        <v>10.800606821450938</v>
      </c>
      <c r="M20" s="16">
        <v>0</v>
      </c>
      <c r="N20" s="13">
        <v>1000</v>
      </c>
      <c r="Q20" s="8"/>
      <c r="R20" s="8"/>
    </row>
    <row r="21" spans="1:18" x14ac:dyDescent="0.2">
      <c r="A21" s="19" t="s">
        <v>52</v>
      </c>
      <c r="B21" s="12">
        <v>13987.64</v>
      </c>
      <c r="C21" s="12">
        <v>15782.83</v>
      </c>
      <c r="D21" s="9">
        <v>0</v>
      </c>
      <c r="E21" s="17">
        <f t="shared" si="0"/>
        <v>12.834116405626686</v>
      </c>
      <c r="F21" s="16">
        <v>0</v>
      </c>
      <c r="G21" s="13">
        <v>1000</v>
      </c>
      <c r="H21" s="4"/>
      <c r="I21" s="12">
        <v>13987.64</v>
      </c>
      <c r="J21" s="12">
        <v>15782.83</v>
      </c>
      <c r="K21" s="9">
        <v>0</v>
      </c>
      <c r="L21" s="17">
        <f t="shared" si="1"/>
        <v>12.834116405626686</v>
      </c>
      <c r="M21" s="16">
        <v>0</v>
      </c>
      <c r="N21" s="13">
        <v>1000</v>
      </c>
      <c r="Q21" s="8"/>
      <c r="R21" s="8"/>
    </row>
    <row r="22" spans="1:18" x14ac:dyDescent="0.2">
      <c r="A22" s="19"/>
      <c r="B22" s="12">
        <v>13987.64</v>
      </c>
      <c r="C22" s="12">
        <v>13303.64</v>
      </c>
      <c r="D22" s="9">
        <v>1489.0031484939561</v>
      </c>
      <c r="E22" s="17">
        <f t="shared" si="0"/>
        <v>-4.890031484939561</v>
      </c>
      <c r="F22" s="16">
        <v>1.4890031484939561</v>
      </c>
      <c r="G22" s="13">
        <v>1000</v>
      </c>
      <c r="H22" s="4"/>
      <c r="I22" s="12">
        <v>13987.64</v>
      </c>
      <c r="J22" s="12">
        <v>13303.64</v>
      </c>
      <c r="K22" s="9">
        <v>1489.0031484939561</v>
      </c>
      <c r="L22" s="17">
        <f t="shared" si="1"/>
        <v>-4.890031484939561</v>
      </c>
      <c r="M22" s="16">
        <v>1.4890031484939561</v>
      </c>
      <c r="N22" s="13">
        <v>1000</v>
      </c>
      <c r="Q22" s="8"/>
      <c r="R22" s="8"/>
    </row>
    <row r="23" spans="1:18" x14ac:dyDescent="0.2">
      <c r="A23" s="19"/>
      <c r="B23" s="12">
        <v>13987.64</v>
      </c>
      <c r="C23" s="12">
        <v>14030.38</v>
      </c>
      <c r="D23" s="9">
        <v>969.4444523879655</v>
      </c>
      <c r="E23" s="17">
        <f t="shared" si="0"/>
        <v>0.30555547612034467</v>
      </c>
      <c r="F23" s="16">
        <v>0.96944445238796551</v>
      </c>
      <c r="G23" s="13">
        <v>1000</v>
      </c>
      <c r="H23" s="4"/>
      <c r="I23" s="12">
        <v>13987.64</v>
      </c>
      <c r="J23" s="12">
        <v>14030.38</v>
      </c>
      <c r="K23" s="9">
        <v>969.4444523879655</v>
      </c>
      <c r="L23" s="17">
        <f t="shared" si="1"/>
        <v>0.30555547612034467</v>
      </c>
      <c r="M23" s="16">
        <v>0.96944445238796551</v>
      </c>
      <c r="N23" s="13">
        <v>1000</v>
      </c>
      <c r="Q23" s="8"/>
      <c r="R23" s="8"/>
    </row>
    <row r="24" spans="1:18" x14ac:dyDescent="0.2">
      <c r="A24" s="19"/>
      <c r="B24" s="12">
        <v>13987.64</v>
      </c>
      <c r="C24" s="12">
        <v>14644.95</v>
      </c>
      <c r="D24" s="9">
        <v>530.07798313367994</v>
      </c>
      <c r="E24" s="17">
        <f t="shared" si="0"/>
        <v>4.6992201686632002</v>
      </c>
      <c r="F24" s="16">
        <v>0.53007798313367993</v>
      </c>
      <c r="G24" s="13">
        <v>1000</v>
      </c>
      <c r="H24" s="4"/>
      <c r="I24" s="12">
        <v>13987.64</v>
      </c>
      <c r="J24" s="12">
        <v>14644.95</v>
      </c>
      <c r="K24" s="9">
        <v>530.07798313367994</v>
      </c>
      <c r="L24" s="17">
        <f t="shared" si="1"/>
        <v>4.6992201686632002</v>
      </c>
      <c r="M24" s="16">
        <v>0.53007798313367993</v>
      </c>
      <c r="N24" s="13">
        <v>1000</v>
      </c>
      <c r="Q24" s="8"/>
      <c r="R24" s="8"/>
    </row>
    <row r="25" spans="1:18" x14ac:dyDescent="0.2">
      <c r="A25" s="19"/>
      <c r="B25" s="12">
        <v>13987.64</v>
      </c>
      <c r="C25" s="12">
        <v>14942.65</v>
      </c>
      <c r="D25" s="9">
        <v>317.24722683740771</v>
      </c>
      <c r="E25" s="17">
        <f t="shared" si="0"/>
        <v>6.8275277316259233</v>
      </c>
      <c r="F25" s="16">
        <v>0.31724722683740769</v>
      </c>
      <c r="G25" s="13">
        <v>1000</v>
      </c>
      <c r="H25" s="4"/>
      <c r="I25" s="12">
        <v>13987.64</v>
      </c>
      <c r="J25" s="12">
        <v>14942.65</v>
      </c>
      <c r="K25" s="9">
        <v>317.24722683740771</v>
      </c>
      <c r="L25" s="17">
        <f t="shared" si="1"/>
        <v>6.8275277316259233</v>
      </c>
      <c r="M25" s="16">
        <v>0.31724722683740769</v>
      </c>
      <c r="N25" s="13">
        <v>1000</v>
      </c>
      <c r="Q25" s="8"/>
      <c r="R25" s="8"/>
    </row>
    <row r="26" spans="1:18" x14ac:dyDescent="0.2">
      <c r="A26" s="19"/>
      <c r="B26" s="12">
        <v>13987.64</v>
      </c>
      <c r="C26" s="12">
        <v>14942.65</v>
      </c>
      <c r="D26" s="9">
        <v>317.24722683740771</v>
      </c>
      <c r="E26" s="17">
        <f t="shared" si="0"/>
        <v>6.8275277316259233</v>
      </c>
      <c r="F26" s="16">
        <v>0.31724722683740769</v>
      </c>
      <c r="G26" s="13">
        <v>1000</v>
      </c>
      <c r="H26" s="4"/>
      <c r="I26" s="12">
        <v>13987.64</v>
      </c>
      <c r="J26" s="12">
        <v>14942.65</v>
      </c>
      <c r="K26" s="9">
        <v>317.24722683740771</v>
      </c>
      <c r="L26" s="17">
        <f t="shared" si="1"/>
        <v>6.8275277316259233</v>
      </c>
      <c r="M26" s="16">
        <v>0.31724722683740769</v>
      </c>
      <c r="N26" s="13">
        <v>1000</v>
      </c>
      <c r="Q26" s="8"/>
      <c r="R26" s="8"/>
    </row>
    <row r="27" spans="1:18" x14ac:dyDescent="0.2">
      <c r="A27" s="19"/>
      <c r="B27" s="12">
        <v>13987.64</v>
      </c>
      <c r="C27" s="12">
        <v>14942.65</v>
      </c>
      <c r="D27" s="9">
        <v>317.24722683740771</v>
      </c>
      <c r="E27" s="17">
        <f t="shared" si="0"/>
        <v>6.8275277316259233</v>
      </c>
      <c r="F27" s="16">
        <v>0.31724722683740769</v>
      </c>
      <c r="G27" s="13">
        <v>1000</v>
      </c>
      <c r="H27" s="4"/>
      <c r="I27" s="12">
        <v>13987.64</v>
      </c>
      <c r="J27" s="12">
        <v>14942.65</v>
      </c>
      <c r="K27" s="9">
        <v>317.24722683740771</v>
      </c>
      <c r="L27" s="17">
        <f t="shared" si="1"/>
        <v>6.8275277316259233</v>
      </c>
      <c r="M27" s="16">
        <v>0.31724722683740769</v>
      </c>
      <c r="N27" s="13">
        <v>1000</v>
      </c>
      <c r="Q27" s="8"/>
      <c r="R27" s="8"/>
    </row>
    <row r="28" spans="1:18" x14ac:dyDescent="0.2">
      <c r="D28" s="9">
        <f>SUM(D2:D25)</f>
        <v>16988.541312187037</v>
      </c>
      <c r="F28" s="16">
        <f>SUM(F2:F25)</f>
        <v>16.988541312187039</v>
      </c>
      <c r="G28" s="5"/>
      <c r="H28" s="4"/>
      <c r="K28" s="9">
        <f>SUM(K2:K25)</f>
        <v>16988.541312187037</v>
      </c>
      <c r="M28" s="16">
        <f>SUM(M2:M25)</f>
        <v>16.988541312187039</v>
      </c>
      <c r="Q28" s="8"/>
      <c r="R28" s="8"/>
    </row>
    <row r="29" spans="1:18" x14ac:dyDescent="0.2">
      <c r="G29" s="5"/>
      <c r="H29" s="4"/>
      <c r="Q29" s="8"/>
      <c r="R29" s="8"/>
    </row>
    <row r="30" spans="1:18" x14ac:dyDescent="0.2">
      <c r="A30" t="s">
        <v>30</v>
      </c>
      <c r="B30" s="12"/>
      <c r="C30" t="s">
        <v>3</v>
      </c>
      <c r="D30" s="10">
        <f>SUM(K28,D28)</f>
        <v>33977.082624374074</v>
      </c>
      <c r="F30" s="16">
        <f>SUM(F28,M28)</f>
        <v>33.977082624374077</v>
      </c>
      <c r="G30" s="5"/>
      <c r="H30" s="4"/>
      <c r="R30" s="6"/>
    </row>
    <row r="31" spans="1:18" x14ac:dyDescent="0.2">
      <c r="A31" t="s">
        <v>31</v>
      </c>
      <c r="B31" s="12"/>
      <c r="C31" t="s">
        <v>2</v>
      </c>
      <c r="D31" s="10">
        <f>IFERROR((D30/F30),"")</f>
        <v>999.99999999999989</v>
      </c>
    </row>
    <row r="32" spans="1:18" x14ac:dyDescent="0.2">
      <c r="A32" t="s">
        <v>27</v>
      </c>
      <c r="B32" s="12"/>
      <c r="C32" t="s">
        <v>24</v>
      </c>
      <c r="D32" s="11" t="str">
        <f>IFERROR((B31-B30)/B30*100,"")</f>
        <v/>
      </c>
    </row>
    <row r="33" spans="1:13" x14ac:dyDescent="0.2">
      <c r="A33" t="s">
        <v>26</v>
      </c>
      <c r="B33" s="12"/>
      <c r="C33" t="s">
        <v>29</v>
      </c>
      <c r="D33" s="11" t="str">
        <f>IFERROR((B32-B33)/B32*100,"")</f>
        <v/>
      </c>
    </row>
    <row r="34" spans="1:13" x14ac:dyDescent="0.2">
      <c r="A34" t="s">
        <v>28</v>
      </c>
      <c r="B34" s="12"/>
      <c r="C34" t="s">
        <v>25</v>
      </c>
      <c r="D34" s="15"/>
    </row>
    <row r="35" spans="1:13" x14ac:dyDescent="0.2">
      <c r="C35" t="s">
        <v>0</v>
      </c>
      <c r="D35" s="14">
        <f>IFERROR((D34/D30)*100,"")</f>
        <v>0</v>
      </c>
    </row>
    <row r="42" spans="1:13" x14ac:dyDescent="0.2">
      <c r="D42"/>
      <c r="E42"/>
      <c r="F42"/>
    </row>
    <row r="43" spans="1:13" x14ac:dyDescent="0.2">
      <c r="D43"/>
      <c r="E43"/>
      <c r="F43"/>
      <c r="K43"/>
      <c r="L43"/>
      <c r="M43"/>
    </row>
    <row r="44" spans="1:13" x14ac:dyDescent="0.2">
      <c r="D44"/>
      <c r="E44"/>
      <c r="F44"/>
      <c r="K44"/>
      <c r="L44"/>
      <c r="M44"/>
    </row>
    <row r="45" spans="1:13" x14ac:dyDescent="0.2">
      <c r="D45"/>
      <c r="E45"/>
      <c r="F45"/>
      <c r="H45" s="4"/>
      <c r="K45"/>
      <c r="L45"/>
      <c r="M45"/>
    </row>
    <row r="46" spans="1:13" x14ac:dyDescent="0.2">
      <c r="D46"/>
      <c r="E46"/>
      <c r="F46"/>
      <c r="K46"/>
      <c r="L46"/>
      <c r="M46"/>
    </row>
    <row r="47" spans="1:13" x14ac:dyDescent="0.2">
      <c r="D47"/>
      <c r="E47"/>
      <c r="F47"/>
      <c r="K47"/>
      <c r="L47"/>
      <c r="M47"/>
    </row>
    <row r="48" spans="1:13" x14ac:dyDescent="0.2">
      <c r="D48"/>
      <c r="E48"/>
      <c r="F48"/>
      <c r="K48"/>
      <c r="L48"/>
      <c r="M48"/>
    </row>
    <row r="49" spans="4:6" x14ac:dyDescent="0.2">
      <c r="D49"/>
      <c r="E49"/>
      <c r="F49"/>
    </row>
  </sheetData>
  <mergeCells count="4">
    <mergeCell ref="A2:A7"/>
    <mergeCell ref="A8:A14"/>
    <mergeCell ref="A15:A20"/>
    <mergeCell ref="A21:A27"/>
  </mergeCells>
  <phoneticPr fontId="2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8194" r:id="rId4" name="Run_CURVE">
          <controlPr defaultSize="0" autoFill="0" autoLine="0" altText="Select File" r:id="rId5">
            <anchor moveWithCells="1" sizeWithCells="1">
              <from>
                <xdr:col>17</xdr:col>
                <xdr:colOff>9525</xdr:colOff>
                <xdr:row>3</xdr:row>
                <xdr:rowOff>76200</xdr:rowOff>
              </from>
              <to>
                <xdr:col>18</xdr:col>
                <xdr:colOff>85725</xdr:colOff>
                <xdr:row>5</xdr:row>
                <xdr:rowOff>19050</xdr:rowOff>
              </to>
            </anchor>
          </controlPr>
        </control>
      </mc:Choice>
      <mc:Fallback>
        <control shapeId="8194" r:id="rId4" name="Run_CURVE"/>
      </mc:Fallback>
    </mc:AlternateContent>
    <mc:AlternateContent xmlns:mc="http://schemas.openxmlformats.org/markup-compatibility/2006">
      <mc:Choice Requires="x14">
        <control shapeId="8193" r:id="rId6" name="Run_LADDER">
          <controlPr defaultSize="0" autoFill="0" autoLine="0" altText="Select File" r:id="rId7">
            <anchor moveWithCells="1" sizeWithCells="1">
              <from>
                <xdr:col>17</xdr:col>
                <xdr:colOff>9525</xdr:colOff>
                <xdr:row>10</xdr:row>
                <xdr:rowOff>76200</xdr:rowOff>
              </from>
              <to>
                <xdr:col>18</xdr:col>
                <xdr:colOff>76200</xdr:colOff>
                <xdr:row>12</xdr:row>
                <xdr:rowOff>0</xdr:rowOff>
              </to>
            </anchor>
          </controlPr>
        </control>
      </mc:Choice>
      <mc:Fallback>
        <control shapeId="8193" r:id="rId6" name="Run_LADDER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月定投_源表</vt:lpstr>
      <vt:lpstr>周定投_源表</vt:lpstr>
      <vt:lpstr>月定投_测试</vt:lpstr>
      <vt:lpstr>周定投_测试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Ruicheng Chen</dc:creator>
  <cp:lastModifiedBy>admin</cp:lastModifiedBy>
  <dcterms:created xsi:type="dcterms:W3CDTF">2015-06-05T18:17:20Z</dcterms:created>
  <dcterms:modified xsi:type="dcterms:W3CDTF">2023-05-06T09:25:23Z</dcterms:modified>
</cp:coreProperties>
</file>